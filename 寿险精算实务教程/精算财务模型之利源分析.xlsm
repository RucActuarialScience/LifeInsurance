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embeddings/oleObject1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将Excel嵌入保险和金融教学\"/>
    </mc:Choice>
  </mc:AlternateContent>
  <bookViews>
    <workbookView xWindow="240" yWindow="15" windowWidth="14895" windowHeight="7935" activeTab="4"/>
  </bookViews>
  <sheets>
    <sheet name="公共参数" sheetId="2" r:id="rId1"/>
    <sheet name="评估" sheetId="9" r:id="rId2"/>
    <sheet name="定价" sheetId="5" r:id="rId3"/>
    <sheet name="利润测试" sheetId="10" r:id="rId4"/>
    <sheet name="预测财务报表" sheetId="3" r:id="rId5"/>
    <sheet name="CL03" sheetId="4" r:id="rId6"/>
    <sheet name="Sheet1" sheetId="11" r:id="rId7"/>
  </sheets>
  <definedNames>
    <definedName name="n">Sheet1!$B$10</definedName>
    <definedName name="n0">'CL03'!$H$3</definedName>
    <definedName name="v">Sheet1!$B$11</definedName>
    <definedName name="v0">'CL03'!$H$2</definedName>
    <definedName name="保额">公共参数!$B$4</definedName>
    <definedName name="保险期间">公共参数!$B$3</definedName>
    <definedName name="测试保费" localSheetId="3">利润测试!$B$13</definedName>
    <definedName name="测试利率编号" localSheetId="3">利润测试!$B$11</definedName>
    <definedName name="测试生命表" localSheetId="3">利润测试!$B$9</definedName>
    <definedName name="测试死亡率因子" localSheetId="3">利润测试!$B$10</definedName>
    <definedName name="产品类型">公共参数!$B$2</definedName>
    <definedName name="定价利率">定价!$B$11</definedName>
    <definedName name="定价生命表">定价!$B$9</definedName>
    <definedName name="定价死亡率因子">定价!$B$10</definedName>
    <definedName name="缴费期">公共参数!$B$8</definedName>
    <definedName name="净保费">评估!$B$12</definedName>
    <definedName name="毛保费">定价!$B$12</definedName>
    <definedName name="评估利率" localSheetId="1">评估!$B$11</definedName>
    <definedName name="评估生命表" localSheetId="1">评估!$B$9</definedName>
    <definedName name="评估死亡率因子" localSheetId="1">评估!$B$10</definedName>
    <definedName name="期初保单数">公共参数!$B$7</definedName>
    <definedName name="启动资本">利润测试!$B$12</definedName>
    <definedName name="生命表">'CL03'!$B$4:$E$111</definedName>
    <definedName name="输出定位" localSheetId="3">利润测试!#REF!</definedName>
    <definedName name="输出定位">定价!$C$59</definedName>
    <definedName name="投保年龄">公共参数!$B$5</definedName>
    <definedName name="投保性别">公共参数!$B$6</definedName>
  </definedNames>
  <calcPr calcId="152511" iterate="1" iterateCount="1000"/>
</workbook>
</file>

<file path=xl/calcChain.xml><?xml version="1.0" encoding="utf-8"?>
<calcChain xmlns="http://schemas.openxmlformats.org/spreadsheetml/2006/main">
  <c r="F37" i="3" l="1"/>
  <c r="G37" i="3"/>
  <c r="F35" i="3"/>
  <c r="G35" i="3"/>
  <c r="F30" i="3"/>
  <c r="G30" i="3"/>
  <c r="F31" i="3"/>
  <c r="G31" i="3"/>
  <c r="F32" i="3"/>
  <c r="G32" i="3"/>
  <c r="F33" i="3"/>
  <c r="G33" i="3"/>
  <c r="B4" i="3"/>
  <c r="B7" i="3" s="1"/>
  <c r="B28" i="10"/>
  <c r="D12" i="9"/>
  <c r="B12" i="9" s="1"/>
  <c r="H7" i="4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2" i="4"/>
  <c r="D12" i="5"/>
  <c r="B12" i="5" s="1"/>
  <c r="C12" i="11" a="1"/>
  <c r="C12" i="11" s="1"/>
  <c r="B15" i="11" a="1"/>
  <c r="B15" i="11" s="1"/>
  <c r="C18" i="11" a="1"/>
  <c r="C20" i="11" s="1"/>
  <c r="B14" i="11" a="1"/>
  <c r="B14" i="11" s="1"/>
  <c r="B13" i="11" a="1"/>
  <c r="B13" i="11" s="1"/>
  <c r="CK32" i="10"/>
  <c r="CJ32" i="10"/>
  <c r="CI32" i="10"/>
  <c r="CH32" i="10"/>
  <c r="CG32" i="10"/>
  <c r="B31" i="10"/>
  <c r="C18" i="3" s="1"/>
  <c r="B27" i="10"/>
  <c r="B9" i="10"/>
  <c r="B17" i="10" s="1"/>
  <c r="B26" i="10"/>
  <c r="C2" i="3" s="1"/>
  <c r="B20" i="10"/>
  <c r="B19" i="10"/>
  <c r="C18" i="10"/>
  <c r="B18" i="10"/>
  <c r="C16" i="10"/>
  <c r="D18" i="10" s="1"/>
  <c r="B8" i="10"/>
  <c r="B7" i="10"/>
  <c r="B6" i="10"/>
  <c r="B5" i="10"/>
  <c r="B4" i="10"/>
  <c r="B3" i="10"/>
  <c r="B2" i="10"/>
  <c r="B2" i="5"/>
  <c r="B3" i="5"/>
  <c r="B6" i="5"/>
  <c r="B12" i="11" a="1"/>
  <c r="B12" i="11" l="1"/>
  <c r="C21" i="11"/>
  <c r="C22" i="11"/>
  <c r="C18" i="11"/>
  <c r="C19" i="11"/>
  <c r="B8" i="3"/>
  <c r="C8" i="3" s="1"/>
  <c r="D16" i="10"/>
  <c r="C19" i="10"/>
  <c r="C20" i="10"/>
  <c r="B36" i="10"/>
  <c r="B37" i="10" s="1"/>
  <c r="C19" i="3" s="1"/>
  <c r="C17" i="10"/>
  <c r="C26" i="10"/>
  <c r="D2" i="3" s="1"/>
  <c r="D8" i="3" s="1"/>
  <c r="D19" i="10" l="1"/>
  <c r="D17" i="10"/>
  <c r="D26" i="10"/>
  <c r="E2" i="3" s="1"/>
  <c r="E8" i="3" s="1"/>
  <c r="E18" i="10"/>
  <c r="D20" i="10"/>
  <c r="E16" i="10"/>
  <c r="B38" i="10"/>
  <c r="E19" i="10" l="1"/>
  <c r="E17" i="10"/>
  <c r="C28" i="10"/>
  <c r="B39" i="10"/>
  <c r="C20" i="3" s="1"/>
  <c r="E20" i="10"/>
  <c r="F16" i="10"/>
  <c r="E26" i="10"/>
  <c r="F2" i="3" s="1"/>
  <c r="F8" i="3" s="1"/>
  <c r="F18" i="10"/>
  <c r="D18" i="3" l="1"/>
  <c r="C31" i="10"/>
  <c r="F19" i="10"/>
  <c r="F17" i="10"/>
  <c r="C36" i="10"/>
  <c r="C37" i="10" s="1"/>
  <c r="D19" i="3" s="1"/>
  <c r="F26" i="10"/>
  <c r="G2" i="3" s="1"/>
  <c r="G8" i="3" s="1"/>
  <c r="G18" i="10"/>
  <c r="F20" i="10"/>
  <c r="G16" i="10"/>
  <c r="G17" i="10" l="1"/>
  <c r="G19" i="10"/>
  <c r="C38" i="10"/>
  <c r="G26" i="10"/>
  <c r="H2" i="3" s="1"/>
  <c r="H18" i="10"/>
  <c r="G20" i="10"/>
  <c r="H16" i="10"/>
  <c r="H8" i="3" l="1"/>
  <c r="D28" i="10"/>
  <c r="D31" i="10" s="1"/>
  <c r="E18" i="3" s="1"/>
  <c r="C39" i="10"/>
  <c r="D20" i="3" s="1"/>
  <c r="H26" i="10"/>
  <c r="I2" i="3" s="1"/>
  <c r="I18" i="10"/>
  <c r="I16" i="10"/>
  <c r="H20" i="10"/>
  <c r="H19" i="10"/>
  <c r="H17" i="10"/>
  <c r="I8" i="3" l="1"/>
  <c r="I19" i="10"/>
  <c r="D36" i="10"/>
  <c r="I17" i="10"/>
  <c r="I20" i="10"/>
  <c r="I26" i="10"/>
  <c r="J2" i="3" s="1"/>
  <c r="J18" i="10"/>
  <c r="J16" i="10"/>
  <c r="J8" i="3" l="1"/>
  <c r="D37" i="10"/>
  <c r="E19" i="3" s="1"/>
  <c r="D38" i="10"/>
  <c r="D39" i="10" s="1"/>
  <c r="E20" i="3" s="1"/>
  <c r="J26" i="10"/>
  <c r="K2" i="3" s="1"/>
  <c r="K18" i="10"/>
  <c r="J20" i="10"/>
  <c r="K16" i="10"/>
  <c r="J19" i="10"/>
  <c r="J17" i="10"/>
  <c r="K8" i="3" l="1"/>
  <c r="L30" i="10"/>
  <c r="M17" i="3" s="1"/>
  <c r="L31" i="10"/>
  <c r="M18" i="3" s="1"/>
  <c r="K17" i="10"/>
  <c r="L33" i="10"/>
  <c r="E28" i="10"/>
  <c r="E31" i="10" s="1"/>
  <c r="F18" i="3" s="1"/>
  <c r="L40" i="10"/>
  <c r="M4" i="3" s="1"/>
  <c r="L36" i="10"/>
  <c r="L35" i="10"/>
  <c r="L42" i="10"/>
  <c r="L38" i="10"/>
  <c r="L34" i="10"/>
  <c r="M13" i="3" s="1"/>
  <c r="L41" i="10"/>
  <c r="L37" i="10"/>
  <c r="M19" i="3" s="1"/>
  <c r="L27" i="10"/>
  <c r="L19" i="10"/>
  <c r="K26" i="10"/>
  <c r="L2" i="3" s="1"/>
  <c r="L18" i="10"/>
  <c r="K20" i="10"/>
  <c r="L17" i="10"/>
  <c r="L29" i="10"/>
  <c r="M12" i="3" s="1"/>
  <c r="L28" i="10"/>
  <c r="L16" i="10"/>
  <c r="E36" i="10"/>
  <c r="E37" i="10" s="1"/>
  <c r="F19" i="3" s="1"/>
  <c r="K19" i="10"/>
  <c r="M33" i="10" l="1"/>
  <c r="M31" i="10"/>
  <c r="N18" i="3" s="1"/>
  <c r="M30" i="10"/>
  <c r="N17" i="3" s="1"/>
  <c r="L8" i="3"/>
  <c r="E38" i="10"/>
  <c r="M41" i="10"/>
  <c r="M37" i="10"/>
  <c r="N19" i="3" s="1"/>
  <c r="M40" i="10"/>
  <c r="N4" i="3" s="1"/>
  <c r="M36" i="10"/>
  <c r="M35" i="10"/>
  <c r="M29" i="10"/>
  <c r="N12" i="3" s="1"/>
  <c r="M42" i="10"/>
  <c r="M38" i="10"/>
  <c r="M34" i="10"/>
  <c r="N13" i="3" s="1"/>
  <c r="M28" i="10"/>
  <c r="M27" i="10"/>
  <c r="M19" i="10"/>
  <c r="L26" i="10"/>
  <c r="M18" i="10"/>
  <c r="L20" i="10"/>
  <c r="M17" i="10"/>
  <c r="M16" i="10"/>
  <c r="N33" i="10" l="1"/>
  <c r="N31" i="10"/>
  <c r="O18" i="3" s="1"/>
  <c r="N30" i="10"/>
  <c r="O17" i="3" s="1"/>
  <c r="L32" i="10"/>
  <c r="M2" i="3"/>
  <c r="N42" i="10"/>
  <c r="N38" i="10"/>
  <c r="N34" i="10"/>
  <c r="O13" i="3" s="1"/>
  <c r="N41" i="10"/>
  <c r="N37" i="10"/>
  <c r="O19" i="3" s="1"/>
  <c r="N40" i="10"/>
  <c r="O4" i="3" s="1"/>
  <c r="N36" i="10"/>
  <c r="N35" i="10"/>
  <c r="N29" i="10"/>
  <c r="O12" i="3" s="1"/>
  <c r="M20" i="10"/>
  <c r="N17" i="10"/>
  <c r="N28" i="10"/>
  <c r="N27" i="10"/>
  <c r="N19" i="10"/>
  <c r="N16" i="10"/>
  <c r="M26" i="10"/>
  <c r="N18" i="10"/>
  <c r="L39" i="10"/>
  <c r="M20" i="3" s="1"/>
  <c r="F28" i="10"/>
  <c r="F31" i="10" s="1"/>
  <c r="G18" i="3" s="1"/>
  <c r="E39" i="10"/>
  <c r="F20" i="3" s="1"/>
  <c r="O33" i="10" l="1"/>
  <c r="O31" i="10"/>
  <c r="P18" i="3" s="1"/>
  <c r="O30" i="10"/>
  <c r="P17" i="3" s="1"/>
  <c r="M32" i="10"/>
  <c r="N2" i="3"/>
  <c r="M22" i="3"/>
  <c r="M9" i="3"/>
  <c r="M8" i="3"/>
  <c r="M15" i="3"/>
  <c r="M6" i="3"/>
  <c r="M21" i="3" s="1"/>
  <c r="M24" i="3"/>
  <c r="M7" i="3"/>
  <c r="M14" i="3"/>
  <c r="M39" i="10"/>
  <c r="N20" i="3" s="1"/>
  <c r="F36" i="10"/>
  <c r="F37" i="10" s="1"/>
  <c r="G19" i="3" s="1"/>
  <c r="O35" i="10"/>
  <c r="O42" i="10"/>
  <c r="O38" i="10"/>
  <c r="O34" i="10"/>
  <c r="P13" i="3" s="1"/>
  <c r="O41" i="10"/>
  <c r="O37" i="10"/>
  <c r="P19" i="3" s="1"/>
  <c r="O40" i="10"/>
  <c r="P4" i="3" s="1"/>
  <c r="O36" i="10"/>
  <c r="O29" i="10"/>
  <c r="P12" i="3" s="1"/>
  <c r="N26" i="10"/>
  <c r="O18" i="10"/>
  <c r="N20" i="10"/>
  <c r="O17" i="10"/>
  <c r="O28" i="10"/>
  <c r="O16" i="10"/>
  <c r="O27" i="10"/>
  <c r="O19" i="10"/>
  <c r="P33" i="10" l="1"/>
  <c r="P30" i="10"/>
  <c r="Q17" i="3" s="1"/>
  <c r="P31" i="10"/>
  <c r="Q18" i="3" s="1"/>
  <c r="N32" i="10"/>
  <c r="O2" i="3"/>
  <c r="N7" i="3"/>
  <c r="N24" i="3"/>
  <c r="N14" i="3"/>
  <c r="N6" i="3"/>
  <c r="N21" i="3" s="1"/>
  <c r="N9" i="3"/>
  <c r="N8" i="3"/>
  <c r="N15" i="3"/>
  <c r="N22" i="3"/>
  <c r="N39" i="10"/>
  <c r="O20" i="3" s="1"/>
  <c r="P40" i="10"/>
  <c r="Q4" i="3" s="1"/>
  <c r="P36" i="10"/>
  <c r="P35" i="10"/>
  <c r="P42" i="10"/>
  <c r="P38" i="10"/>
  <c r="P34" i="10"/>
  <c r="Q13" i="3" s="1"/>
  <c r="P41" i="10"/>
  <c r="P37" i="10"/>
  <c r="Q19" i="3" s="1"/>
  <c r="P27" i="10"/>
  <c r="P19" i="10"/>
  <c r="P29" i="10"/>
  <c r="Q12" i="3" s="1"/>
  <c r="O26" i="10"/>
  <c r="P18" i="10"/>
  <c r="O20" i="10"/>
  <c r="P17" i="10"/>
  <c r="P28" i="10"/>
  <c r="P16" i="10"/>
  <c r="F38" i="10"/>
  <c r="Q33" i="10" l="1"/>
  <c r="Q31" i="10"/>
  <c r="R18" i="3" s="1"/>
  <c r="Q30" i="10"/>
  <c r="R17" i="3" s="1"/>
  <c r="O32" i="10"/>
  <c r="P2" i="3"/>
  <c r="O15" i="3"/>
  <c r="O24" i="3"/>
  <c r="O9" i="3"/>
  <c r="O14" i="3"/>
  <c r="O8" i="3"/>
  <c r="O7" i="3"/>
  <c r="O6" i="3"/>
  <c r="O21" i="3" s="1"/>
  <c r="O22" i="3"/>
  <c r="G28" i="10"/>
  <c r="G31" i="10" s="1"/>
  <c r="H18" i="3" s="1"/>
  <c r="F39" i="10"/>
  <c r="G20" i="3" s="1"/>
  <c r="O39" i="10"/>
  <c r="P20" i="3" s="1"/>
  <c r="Q41" i="10"/>
  <c r="Q37" i="10"/>
  <c r="R19" i="3" s="1"/>
  <c r="Q40" i="10"/>
  <c r="R4" i="3" s="1"/>
  <c r="Q36" i="10"/>
  <c r="Q35" i="10"/>
  <c r="Q29" i="10"/>
  <c r="R12" i="3" s="1"/>
  <c r="Q42" i="10"/>
  <c r="Q38" i="10"/>
  <c r="Q34" i="10"/>
  <c r="R13" i="3" s="1"/>
  <c r="Q28" i="10"/>
  <c r="Q27" i="10"/>
  <c r="Q19" i="10"/>
  <c r="P26" i="10"/>
  <c r="Q18" i="10"/>
  <c r="Q16" i="10"/>
  <c r="P20" i="10"/>
  <c r="Q17" i="10"/>
  <c r="R33" i="10" l="1"/>
  <c r="R31" i="10"/>
  <c r="S18" i="3" s="1"/>
  <c r="R30" i="10"/>
  <c r="S17" i="3" s="1"/>
  <c r="P32" i="10"/>
  <c r="Q2" i="3"/>
  <c r="P14" i="3"/>
  <c r="P8" i="3"/>
  <c r="P22" i="3"/>
  <c r="P7" i="3"/>
  <c r="P15" i="3"/>
  <c r="P6" i="3"/>
  <c r="P21" i="3" s="1"/>
  <c r="P24" i="3"/>
  <c r="P9" i="3"/>
  <c r="G36" i="10"/>
  <c r="G37" i="10" s="1"/>
  <c r="H19" i="3" s="1"/>
  <c r="R42" i="10"/>
  <c r="R38" i="10"/>
  <c r="R34" i="10"/>
  <c r="S13" i="3" s="1"/>
  <c r="R41" i="10"/>
  <c r="R37" i="10"/>
  <c r="S19" i="3" s="1"/>
  <c r="R40" i="10"/>
  <c r="S4" i="3" s="1"/>
  <c r="R36" i="10"/>
  <c r="R35" i="10"/>
  <c r="R29" i="10"/>
  <c r="S12" i="3" s="1"/>
  <c r="Q20" i="10"/>
  <c r="R17" i="10"/>
  <c r="R28" i="10"/>
  <c r="R16" i="10"/>
  <c r="R27" i="10"/>
  <c r="R19" i="10"/>
  <c r="Q26" i="10"/>
  <c r="R18" i="10"/>
  <c r="P39" i="10"/>
  <c r="Q20" i="3" s="1"/>
  <c r="S33" i="10" l="1"/>
  <c r="S31" i="10"/>
  <c r="T18" i="3" s="1"/>
  <c r="S30" i="10"/>
  <c r="T17" i="3" s="1"/>
  <c r="Q32" i="10"/>
  <c r="R2" i="3"/>
  <c r="Q22" i="3"/>
  <c r="Q9" i="3"/>
  <c r="Q8" i="3"/>
  <c r="Q7" i="3"/>
  <c r="Q15" i="3"/>
  <c r="Q6" i="3"/>
  <c r="Q21" i="3" s="1"/>
  <c r="Q24" i="3"/>
  <c r="Q14" i="3"/>
  <c r="G38" i="10"/>
  <c r="Q39" i="10"/>
  <c r="R20" i="3" s="1"/>
  <c r="S35" i="10"/>
  <c r="S42" i="10"/>
  <c r="S38" i="10"/>
  <c r="S34" i="10"/>
  <c r="T13" i="3" s="1"/>
  <c r="S41" i="10"/>
  <c r="S37" i="10"/>
  <c r="T19" i="3" s="1"/>
  <c r="S40" i="10"/>
  <c r="T4" i="3" s="1"/>
  <c r="S36" i="10"/>
  <c r="R26" i="10"/>
  <c r="S18" i="10"/>
  <c r="R20" i="10"/>
  <c r="S17" i="10"/>
  <c r="S29" i="10"/>
  <c r="T12" i="3" s="1"/>
  <c r="S28" i="10"/>
  <c r="S16" i="10"/>
  <c r="S27" i="10"/>
  <c r="S19" i="10"/>
  <c r="R32" i="10" l="1"/>
  <c r="S2" i="3"/>
  <c r="T33" i="10"/>
  <c r="T30" i="10"/>
  <c r="U17" i="3" s="1"/>
  <c r="T31" i="10"/>
  <c r="U18" i="3" s="1"/>
  <c r="R7" i="3"/>
  <c r="R24" i="3"/>
  <c r="R14" i="3"/>
  <c r="R6" i="3"/>
  <c r="R21" i="3" s="1"/>
  <c r="R22" i="3"/>
  <c r="R15" i="3"/>
  <c r="R9" i="3"/>
  <c r="R8" i="3"/>
  <c r="H28" i="10"/>
  <c r="H31" i="10" s="1"/>
  <c r="I18" i="3" s="1"/>
  <c r="G39" i="10"/>
  <c r="H20" i="3" s="1"/>
  <c r="R39" i="10"/>
  <c r="S20" i="3" s="1"/>
  <c r="T40" i="10"/>
  <c r="U4" i="3" s="1"/>
  <c r="T36" i="10"/>
  <c r="T35" i="10"/>
  <c r="T42" i="10"/>
  <c r="T38" i="10"/>
  <c r="T34" i="10"/>
  <c r="U13" i="3" s="1"/>
  <c r="T41" i="10"/>
  <c r="T37" i="10"/>
  <c r="U19" i="3" s="1"/>
  <c r="T27" i="10"/>
  <c r="T19" i="10"/>
  <c r="S26" i="10"/>
  <c r="T18" i="10"/>
  <c r="S20" i="10"/>
  <c r="T17" i="10"/>
  <c r="T29" i="10"/>
  <c r="U12" i="3" s="1"/>
  <c r="T28" i="10"/>
  <c r="T16" i="10"/>
  <c r="U33" i="10" l="1"/>
  <c r="U30" i="10"/>
  <c r="V17" i="3" s="1"/>
  <c r="U31" i="10"/>
  <c r="V18" i="3" s="1"/>
  <c r="H36" i="10"/>
  <c r="H37" i="10" s="1"/>
  <c r="I19" i="3" s="1"/>
  <c r="S15" i="3"/>
  <c r="S7" i="3"/>
  <c r="S6" i="3"/>
  <c r="S21" i="3" s="1"/>
  <c r="S24" i="3"/>
  <c r="S9" i="3"/>
  <c r="S14" i="3"/>
  <c r="S22" i="3"/>
  <c r="S8" i="3"/>
  <c r="T8" i="3" s="1"/>
  <c r="S32" i="10"/>
  <c r="T2" i="3"/>
  <c r="S39" i="10"/>
  <c r="T20" i="3" s="1"/>
  <c r="U41" i="10"/>
  <c r="U37" i="10"/>
  <c r="V19" i="3" s="1"/>
  <c r="U40" i="10"/>
  <c r="V4" i="3" s="1"/>
  <c r="U36" i="10"/>
  <c r="U35" i="10"/>
  <c r="U29" i="10"/>
  <c r="V12" i="3" s="1"/>
  <c r="U42" i="10"/>
  <c r="U38" i="10"/>
  <c r="U34" i="10"/>
  <c r="V13" i="3" s="1"/>
  <c r="U28" i="10"/>
  <c r="U27" i="10"/>
  <c r="U19" i="10"/>
  <c r="T26" i="10"/>
  <c r="U18" i="10"/>
  <c r="T20" i="10"/>
  <c r="U17" i="10"/>
  <c r="U16" i="10"/>
  <c r="H38" i="10" l="1"/>
  <c r="T24" i="3"/>
  <c r="T14" i="3"/>
  <c r="T7" i="3"/>
  <c r="T9" i="3" s="1"/>
  <c r="T22" i="3"/>
  <c r="T15" i="3"/>
  <c r="T6" i="3"/>
  <c r="T21" i="3" s="1"/>
  <c r="V33" i="10"/>
  <c r="V31" i="10"/>
  <c r="W18" i="3" s="1"/>
  <c r="V30" i="10"/>
  <c r="W17" i="3" s="1"/>
  <c r="T32" i="10"/>
  <c r="U2" i="3"/>
  <c r="H39" i="10"/>
  <c r="I20" i="3" s="1"/>
  <c r="I28" i="10"/>
  <c r="T39" i="10"/>
  <c r="U20" i="3" s="1"/>
  <c r="V42" i="10"/>
  <c r="V38" i="10"/>
  <c r="V34" i="10"/>
  <c r="W13" i="3" s="1"/>
  <c r="V41" i="10"/>
  <c r="V37" i="10"/>
  <c r="W19" i="3" s="1"/>
  <c r="V40" i="10"/>
  <c r="W4" i="3" s="1"/>
  <c r="V36" i="10"/>
  <c r="V35" i="10"/>
  <c r="V29" i="10"/>
  <c r="W12" i="3" s="1"/>
  <c r="U20" i="10"/>
  <c r="V17" i="10"/>
  <c r="V28" i="10"/>
  <c r="V27" i="10"/>
  <c r="V19" i="10"/>
  <c r="V16" i="10"/>
  <c r="U26" i="10"/>
  <c r="V18" i="10"/>
  <c r="U32" i="10" l="1"/>
  <c r="V2" i="3"/>
  <c r="W33" i="10"/>
  <c r="W31" i="10"/>
  <c r="X18" i="3" s="1"/>
  <c r="W30" i="10"/>
  <c r="X17" i="3" s="1"/>
  <c r="I36" i="10"/>
  <c r="I37" i="10" s="1"/>
  <c r="J19" i="3" s="1"/>
  <c r="I31" i="10"/>
  <c r="J18" i="3" s="1"/>
  <c r="U22" i="3"/>
  <c r="U14" i="3"/>
  <c r="U7" i="3"/>
  <c r="U9" i="3" s="1"/>
  <c r="U15" i="3"/>
  <c r="U6" i="3"/>
  <c r="U21" i="3" s="1"/>
  <c r="U24" i="3"/>
  <c r="U8" i="3"/>
  <c r="W35" i="10"/>
  <c r="W42" i="10"/>
  <c r="W38" i="10"/>
  <c r="W34" i="10"/>
  <c r="X13" i="3" s="1"/>
  <c r="W41" i="10"/>
  <c r="W37" i="10"/>
  <c r="X19" i="3" s="1"/>
  <c r="W40" i="10"/>
  <c r="X4" i="3" s="1"/>
  <c r="W36" i="10"/>
  <c r="W29" i="10"/>
  <c r="X12" i="3" s="1"/>
  <c r="V26" i="10"/>
  <c r="W18" i="10"/>
  <c r="V20" i="10"/>
  <c r="W17" i="10"/>
  <c r="W28" i="10"/>
  <c r="W16" i="10"/>
  <c r="W27" i="10"/>
  <c r="W19" i="10"/>
  <c r="U39" i="10"/>
  <c r="V20" i="3" s="1"/>
  <c r="X33" i="10" l="1"/>
  <c r="X30" i="10"/>
  <c r="Y17" i="3" s="1"/>
  <c r="X31" i="10"/>
  <c r="Y18" i="3" s="1"/>
  <c r="V7" i="3"/>
  <c r="V24" i="3"/>
  <c r="V14" i="3"/>
  <c r="V6" i="3"/>
  <c r="V21" i="3" s="1"/>
  <c r="V22" i="3"/>
  <c r="V15" i="3"/>
  <c r="V8" i="3"/>
  <c r="V9" i="3"/>
  <c r="I38" i="10"/>
  <c r="V32" i="10"/>
  <c r="W2" i="3"/>
  <c r="V39" i="10"/>
  <c r="W20" i="3" s="1"/>
  <c r="J28" i="10"/>
  <c r="J31" i="10" s="1"/>
  <c r="K18" i="3" s="1"/>
  <c r="X40" i="10"/>
  <c r="Y4" i="3" s="1"/>
  <c r="X36" i="10"/>
  <c r="X35" i="10"/>
  <c r="X42" i="10"/>
  <c r="X38" i="10"/>
  <c r="X34" i="10"/>
  <c r="Y13" i="3" s="1"/>
  <c r="X41" i="10"/>
  <c r="X37" i="10"/>
  <c r="Y19" i="3" s="1"/>
  <c r="X27" i="10"/>
  <c r="X19" i="10"/>
  <c r="X29" i="10"/>
  <c r="Y12" i="3" s="1"/>
  <c r="W26" i="10"/>
  <c r="X18" i="10"/>
  <c r="W20" i="10"/>
  <c r="X17" i="10"/>
  <c r="X28" i="10"/>
  <c r="X16" i="10"/>
  <c r="Y33" i="10" l="1"/>
  <c r="Y31" i="10"/>
  <c r="Z18" i="3" s="1"/>
  <c r="Y30" i="10"/>
  <c r="Z17" i="3" s="1"/>
  <c r="W7" i="3"/>
  <c r="W15" i="3"/>
  <c r="W22" i="3"/>
  <c r="W6" i="3"/>
  <c r="W21" i="3" s="1"/>
  <c r="W24" i="3"/>
  <c r="W14" i="3"/>
  <c r="W9" i="3"/>
  <c r="W8" i="3"/>
  <c r="X8" i="3" s="1"/>
  <c r="W32" i="10"/>
  <c r="X2" i="3"/>
  <c r="I39" i="10"/>
  <c r="J20" i="3" s="1"/>
  <c r="J36" i="10"/>
  <c r="J37" i="10" s="1"/>
  <c r="K19" i="3" s="1"/>
  <c r="W39" i="10"/>
  <c r="X20" i="3" s="1"/>
  <c r="Y41" i="10"/>
  <c r="Y37" i="10"/>
  <c r="Z19" i="3" s="1"/>
  <c r="Y40" i="10"/>
  <c r="Z4" i="3" s="1"/>
  <c r="Y36" i="10"/>
  <c r="Y35" i="10"/>
  <c r="Y29" i="10"/>
  <c r="Z12" i="3" s="1"/>
  <c r="Y42" i="10"/>
  <c r="Y38" i="10"/>
  <c r="Y34" i="10"/>
  <c r="Z13" i="3" s="1"/>
  <c r="Y28" i="10"/>
  <c r="Y16" i="10"/>
  <c r="Y27" i="10"/>
  <c r="Y19" i="10"/>
  <c r="X26" i="10"/>
  <c r="Y18" i="10"/>
  <c r="X20" i="10"/>
  <c r="Y17" i="10"/>
  <c r="Z33" i="10" l="1"/>
  <c r="Z31" i="10"/>
  <c r="AA18" i="3" s="1"/>
  <c r="Z30" i="10"/>
  <c r="AA17" i="3" s="1"/>
  <c r="Y8" i="3"/>
  <c r="X32" i="10"/>
  <c r="Y2" i="3"/>
  <c r="X15" i="3"/>
  <c r="X6" i="3"/>
  <c r="X21" i="3" s="1"/>
  <c r="X24" i="3"/>
  <c r="X7" i="3"/>
  <c r="X9" i="3" s="1"/>
  <c r="X14" i="3"/>
  <c r="X22" i="3"/>
  <c r="X39" i="10"/>
  <c r="Y20" i="3" s="1"/>
  <c r="Z42" i="10"/>
  <c r="Z38" i="10"/>
  <c r="Z34" i="10"/>
  <c r="AA13" i="3" s="1"/>
  <c r="Z41" i="10"/>
  <c r="Z37" i="10"/>
  <c r="AA19" i="3" s="1"/>
  <c r="Z40" i="10"/>
  <c r="AA4" i="3" s="1"/>
  <c r="Z36" i="10"/>
  <c r="Z35" i="10"/>
  <c r="Z29" i="10"/>
  <c r="AA12" i="3" s="1"/>
  <c r="Y20" i="10"/>
  <c r="Z17" i="10"/>
  <c r="Z28" i="10"/>
  <c r="Z27" i="10"/>
  <c r="Z19" i="10"/>
  <c r="Y26" i="10"/>
  <c r="Z18" i="10"/>
  <c r="Z16" i="10"/>
  <c r="J38" i="10"/>
  <c r="Y32" i="10" l="1"/>
  <c r="Z2" i="3"/>
  <c r="Z8" i="3"/>
  <c r="AA33" i="10"/>
  <c r="AA31" i="10"/>
  <c r="AB18" i="3" s="1"/>
  <c r="AA30" i="10"/>
  <c r="AB17" i="3" s="1"/>
  <c r="Y22" i="3"/>
  <c r="Y24" i="3"/>
  <c r="Y14" i="3"/>
  <c r="Y7" i="3"/>
  <c r="Y9" i="3" s="1"/>
  <c r="Y15" i="3"/>
  <c r="Y6" i="3"/>
  <c r="Y21" i="3" s="1"/>
  <c r="K28" i="10"/>
  <c r="K31" i="10" s="1"/>
  <c r="L18" i="3" s="1"/>
  <c r="J39" i="10"/>
  <c r="K20" i="3" s="1"/>
  <c r="Y39" i="10"/>
  <c r="Z20" i="3" s="1"/>
  <c r="AA35" i="10"/>
  <c r="AA42" i="10"/>
  <c r="AA38" i="10"/>
  <c r="AA34" i="10"/>
  <c r="AB13" i="3" s="1"/>
  <c r="AA41" i="10"/>
  <c r="AA37" i="10"/>
  <c r="AB19" i="3" s="1"/>
  <c r="AA40" i="10"/>
  <c r="AB4" i="3" s="1"/>
  <c r="AA36" i="10"/>
  <c r="Z26" i="10"/>
  <c r="AA18" i="10"/>
  <c r="Z20" i="10"/>
  <c r="AA17" i="10"/>
  <c r="AA29" i="10"/>
  <c r="AB12" i="3" s="1"/>
  <c r="AA28" i="10"/>
  <c r="AA16" i="10"/>
  <c r="AA27" i="10"/>
  <c r="AA19" i="10"/>
  <c r="AB33" i="10" l="1"/>
  <c r="AB30" i="10"/>
  <c r="AC17" i="3" s="1"/>
  <c r="AB31" i="10"/>
  <c r="AC18" i="3" s="1"/>
  <c r="AA8" i="3"/>
  <c r="Z7" i="3"/>
  <c r="Z24" i="3"/>
  <c r="Z14" i="3"/>
  <c r="Z6" i="3"/>
  <c r="Z21" i="3" s="1"/>
  <c r="Z15" i="3"/>
  <c r="Z22" i="3"/>
  <c r="Z9" i="3"/>
  <c r="Z32" i="10"/>
  <c r="AA2" i="3"/>
  <c r="K36" i="10"/>
  <c r="K37" i="10" s="1"/>
  <c r="L19" i="3" s="1"/>
  <c r="Z39" i="10"/>
  <c r="AA20" i="3" s="1"/>
  <c r="AB40" i="10"/>
  <c r="AC4" i="3" s="1"/>
  <c r="AB36" i="10"/>
  <c r="AB35" i="10"/>
  <c r="AB42" i="10"/>
  <c r="AB38" i="10"/>
  <c r="AB34" i="10"/>
  <c r="AC13" i="3" s="1"/>
  <c r="AB41" i="10"/>
  <c r="AB37" i="10"/>
  <c r="AC19" i="3" s="1"/>
  <c r="AB27" i="10"/>
  <c r="AB19" i="10"/>
  <c r="AA26" i="10"/>
  <c r="AB18" i="10"/>
  <c r="AA20" i="10"/>
  <c r="AB17" i="10"/>
  <c r="AB29" i="10"/>
  <c r="AC12" i="3" s="1"/>
  <c r="AB28" i="10"/>
  <c r="AB16" i="10"/>
  <c r="AC33" i="10" l="1"/>
  <c r="AC31" i="10"/>
  <c r="AD18" i="3" s="1"/>
  <c r="AC30" i="10"/>
  <c r="AD17" i="3" s="1"/>
  <c r="AB8" i="3"/>
  <c r="AA32" i="10"/>
  <c r="AB2" i="3"/>
  <c r="AA7" i="3"/>
  <c r="AA15" i="3"/>
  <c r="AA14" i="3"/>
  <c r="AA22" i="3"/>
  <c r="AA6" i="3"/>
  <c r="AA21" i="3" s="1"/>
  <c r="AA24" i="3"/>
  <c r="AA9" i="3"/>
  <c r="K38" i="10"/>
  <c r="AC41" i="10"/>
  <c r="AC37" i="10"/>
  <c r="AD19" i="3" s="1"/>
  <c r="AC40" i="10"/>
  <c r="AD4" i="3" s="1"/>
  <c r="AC36" i="10"/>
  <c r="AC35" i="10"/>
  <c r="AC29" i="10"/>
  <c r="AD12" i="3" s="1"/>
  <c r="AC42" i="10"/>
  <c r="AC38" i="10"/>
  <c r="AC34" i="10"/>
  <c r="AD13" i="3" s="1"/>
  <c r="AC28" i="10"/>
  <c r="AC27" i="10"/>
  <c r="AC19" i="10"/>
  <c r="AB26" i="10"/>
  <c r="AC18" i="10"/>
  <c r="AC16" i="10"/>
  <c r="AB20" i="10"/>
  <c r="AC17" i="10"/>
  <c r="AA39" i="10"/>
  <c r="AB20" i="3" s="1"/>
  <c r="AB32" i="10" l="1"/>
  <c r="AC2" i="3"/>
  <c r="AB22" i="3"/>
  <c r="AB15" i="3"/>
  <c r="AB6" i="3"/>
  <c r="AB21" i="3" s="1"/>
  <c r="AB7" i="3"/>
  <c r="AB9" i="3" s="1"/>
  <c r="AB24" i="3"/>
  <c r="AB14" i="3"/>
  <c r="AD33" i="10"/>
  <c r="AD31" i="10"/>
  <c r="AE18" i="3" s="1"/>
  <c r="AD30" i="10"/>
  <c r="AE17" i="3" s="1"/>
  <c r="K39" i="10"/>
  <c r="L20" i="3" s="1"/>
  <c r="AB39" i="10"/>
  <c r="AC20" i="3" s="1"/>
  <c r="AD42" i="10"/>
  <c r="AD38" i="10"/>
  <c r="AD34" i="10"/>
  <c r="AE13" i="3" s="1"/>
  <c r="AD41" i="10"/>
  <c r="AD37" i="10"/>
  <c r="AE19" i="3" s="1"/>
  <c r="AD40" i="10"/>
  <c r="AE4" i="3" s="1"/>
  <c r="AD36" i="10"/>
  <c r="AD35" i="10"/>
  <c r="AD29" i="10"/>
  <c r="AE12" i="3" s="1"/>
  <c r="AC20" i="10"/>
  <c r="AD17" i="10"/>
  <c r="AD28" i="10"/>
  <c r="AD27" i="10"/>
  <c r="AD19" i="10"/>
  <c r="AD16" i="10"/>
  <c r="AC26" i="10"/>
  <c r="AD18" i="10"/>
  <c r="AC32" i="10" l="1"/>
  <c r="AD2" i="3"/>
  <c r="AC22" i="3"/>
  <c r="AC15" i="3"/>
  <c r="AC6" i="3"/>
  <c r="AC21" i="3" s="1"/>
  <c r="AC7" i="3"/>
  <c r="AC9" i="3" s="1"/>
  <c r="AC24" i="3"/>
  <c r="AC14" i="3"/>
  <c r="AE33" i="10"/>
  <c r="AE31" i="10"/>
  <c r="AF18" i="3" s="1"/>
  <c r="AE30" i="10"/>
  <c r="AF17" i="3" s="1"/>
  <c r="AC8" i="3"/>
  <c r="AD8" i="3" s="1"/>
  <c r="AC39" i="10"/>
  <c r="AD20" i="3" s="1"/>
  <c r="AE35" i="10"/>
  <c r="AE42" i="10"/>
  <c r="AE38" i="10"/>
  <c r="AE34" i="10"/>
  <c r="AF13" i="3" s="1"/>
  <c r="AE41" i="10"/>
  <c r="AE37" i="10"/>
  <c r="AF19" i="3" s="1"/>
  <c r="AE40" i="10"/>
  <c r="AF4" i="3" s="1"/>
  <c r="AE36" i="10"/>
  <c r="AE29" i="10"/>
  <c r="AF12" i="3" s="1"/>
  <c r="AD26" i="10"/>
  <c r="AE18" i="10"/>
  <c r="AD20" i="10"/>
  <c r="AE17" i="10"/>
  <c r="AE28" i="10"/>
  <c r="AE16" i="10"/>
  <c r="AE27" i="10"/>
  <c r="AE19" i="10"/>
  <c r="AF33" i="10" l="1"/>
  <c r="AF30" i="10"/>
  <c r="AG17" i="3" s="1"/>
  <c r="AF31" i="10"/>
  <c r="AG18" i="3" s="1"/>
  <c r="AE8" i="3"/>
  <c r="AD32" i="10"/>
  <c r="AE2" i="3"/>
  <c r="AD7" i="3"/>
  <c r="AD24" i="3"/>
  <c r="AD14" i="3"/>
  <c r="AD6" i="3"/>
  <c r="AD21" i="3" s="1"/>
  <c r="AD22" i="3"/>
  <c r="AD15" i="3"/>
  <c r="AD9" i="3"/>
  <c r="AD39" i="10"/>
  <c r="AE20" i="3" s="1"/>
  <c r="AF40" i="10"/>
  <c r="AG4" i="3" s="1"/>
  <c r="AF36" i="10"/>
  <c r="AF35" i="10"/>
  <c r="AF42" i="10"/>
  <c r="AF38" i="10"/>
  <c r="AF34" i="10"/>
  <c r="AG13" i="3" s="1"/>
  <c r="AF41" i="10"/>
  <c r="AF37" i="10"/>
  <c r="AG19" i="3" s="1"/>
  <c r="AF27" i="10"/>
  <c r="AF19" i="10"/>
  <c r="AF29" i="10"/>
  <c r="AG12" i="3" s="1"/>
  <c r="AE26" i="10"/>
  <c r="AF18" i="10"/>
  <c r="AE20" i="10"/>
  <c r="AF17" i="10"/>
  <c r="AF28" i="10"/>
  <c r="AF16" i="10"/>
  <c r="AG33" i="10" l="1"/>
  <c r="AG31" i="10"/>
  <c r="AH18" i="3" s="1"/>
  <c r="AG30" i="10"/>
  <c r="AH17" i="3" s="1"/>
  <c r="AE32" i="10"/>
  <c r="AF2" i="3"/>
  <c r="AE7" i="3"/>
  <c r="AE15" i="3"/>
  <c r="AE24" i="3"/>
  <c r="AE14" i="3"/>
  <c r="AE22" i="3"/>
  <c r="AE6" i="3"/>
  <c r="AE21" i="3" s="1"/>
  <c r="AE9" i="3"/>
  <c r="AE39" i="10"/>
  <c r="AF20" i="3" s="1"/>
  <c r="AG41" i="10"/>
  <c r="AG37" i="10"/>
  <c r="AH19" i="3" s="1"/>
  <c r="AG40" i="10"/>
  <c r="AH4" i="3" s="1"/>
  <c r="AG36" i="10"/>
  <c r="AG35" i="10"/>
  <c r="AG29" i="10"/>
  <c r="AH12" i="3" s="1"/>
  <c r="AG42" i="10"/>
  <c r="AG38" i="10"/>
  <c r="AG34" i="10"/>
  <c r="AH13" i="3" s="1"/>
  <c r="AG28" i="10"/>
  <c r="AG27" i="10"/>
  <c r="AG19" i="10"/>
  <c r="AF26" i="10"/>
  <c r="AG18" i="10"/>
  <c r="AF20" i="10"/>
  <c r="AG17" i="10"/>
  <c r="AG16" i="10"/>
  <c r="AF14" i="3" l="1"/>
  <c r="AF22" i="3"/>
  <c r="AF15" i="3"/>
  <c r="AF6" i="3"/>
  <c r="AF21" i="3" s="1"/>
  <c r="AF24" i="3"/>
  <c r="AF7" i="3"/>
  <c r="AF9" i="3" s="1"/>
  <c r="AH33" i="10"/>
  <c r="AH31" i="10"/>
  <c r="AI18" i="3" s="1"/>
  <c r="AH30" i="10"/>
  <c r="AI17" i="3" s="1"/>
  <c r="AF32" i="10"/>
  <c r="AG2" i="3"/>
  <c r="AF8" i="3"/>
  <c r="AG8" i="3" s="1"/>
  <c r="AH42" i="10"/>
  <c r="AH38" i="10"/>
  <c r="AH34" i="10"/>
  <c r="AI13" i="3" s="1"/>
  <c r="AH41" i="10"/>
  <c r="AH37" i="10"/>
  <c r="AI19" i="3" s="1"/>
  <c r="AH40" i="10"/>
  <c r="AI4" i="3" s="1"/>
  <c r="AH36" i="10"/>
  <c r="AH35" i="10"/>
  <c r="AH29" i="10"/>
  <c r="AI12" i="3" s="1"/>
  <c r="AG20" i="10"/>
  <c r="AH17" i="10"/>
  <c r="AH28" i="10"/>
  <c r="AH16" i="10"/>
  <c r="AH27" i="10"/>
  <c r="AH19" i="10"/>
  <c r="AG26" i="10"/>
  <c r="AH18" i="10"/>
  <c r="AF39" i="10"/>
  <c r="AG20" i="3" s="1"/>
  <c r="AG32" i="10" l="1"/>
  <c r="AH2" i="3"/>
  <c r="AH8" i="3"/>
  <c r="AG22" i="3"/>
  <c r="AG15" i="3"/>
  <c r="AG6" i="3"/>
  <c r="AG21" i="3" s="1"/>
  <c r="AG24" i="3"/>
  <c r="AG7" i="3"/>
  <c r="AG9" i="3" s="1"/>
  <c r="AG14" i="3"/>
  <c r="AI33" i="10"/>
  <c r="AI31" i="10"/>
  <c r="AJ18" i="3" s="1"/>
  <c r="AI30" i="10"/>
  <c r="AJ17" i="3" s="1"/>
  <c r="AG39" i="10"/>
  <c r="AH20" i="3" s="1"/>
  <c r="AI35" i="10"/>
  <c r="AI42" i="10"/>
  <c r="AI38" i="10"/>
  <c r="AI34" i="10"/>
  <c r="AJ13" i="3" s="1"/>
  <c r="AI41" i="10"/>
  <c r="AI37" i="10"/>
  <c r="AJ19" i="3" s="1"/>
  <c r="AI40" i="10"/>
  <c r="AJ4" i="3" s="1"/>
  <c r="AI36" i="10"/>
  <c r="AH26" i="10"/>
  <c r="AI18" i="10"/>
  <c r="AH20" i="10"/>
  <c r="AI17" i="10"/>
  <c r="AI29" i="10"/>
  <c r="AJ12" i="3" s="1"/>
  <c r="AI28" i="10"/>
  <c r="AI16" i="10"/>
  <c r="AI27" i="10"/>
  <c r="AI19" i="10"/>
  <c r="AH32" i="10" l="1"/>
  <c r="AI2" i="3"/>
  <c r="AH7" i="3"/>
  <c r="AH24" i="3"/>
  <c r="AH14" i="3"/>
  <c r="AH6" i="3"/>
  <c r="AH21" i="3" s="1"/>
  <c r="AH22" i="3"/>
  <c r="AH15" i="3"/>
  <c r="AH9" i="3"/>
  <c r="AJ33" i="10"/>
  <c r="AJ30" i="10"/>
  <c r="AK17" i="3" s="1"/>
  <c r="AJ31" i="10"/>
  <c r="AK18" i="3" s="1"/>
  <c r="AJ40" i="10"/>
  <c r="AK4" i="3" s="1"/>
  <c r="AJ36" i="10"/>
  <c r="AJ35" i="10"/>
  <c r="AJ42" i="10"/>
  <c r="AJ38" i="10"/>
  <c r="AJ34" i="10"/>
  <c r="AK13" i="3" s="1"/>
  <c r="AJ41" i="10"/>
  <c r="AJ37" i="10"/>
  <c r="AK19" i="3" s="1"/>
  <c r="AJ27" i="10"/>
  <c r="AJ19" i="10"/>
  <c r="AI26" i="10"/>
  <c r="AJ18" i="10"/>
  <c r="AI20" i="10"/>
  <c r="AJ17" i="10"/>
  <c r="AJ29" i="10"/>
  <c r="AK12" i="3" s="1"/>
  <c r="AJ28" i="10"/>
  <c r="AJ16" i="10"/>
  <c r="AH39" i="10"/>
  <c r="AI20" i="3" s="1"/>
  <c r="AK33" i="10" l="1"/>
  <c r="AK31" i="10"/>
  <c r="AL18" i="3" s="1"/>
  <c r="AK30" i="10"/>
  <c r="AL17" i="3" s="1"/>
  <c r="AI32" i="10"/>
  <c r="AJ2" i="3"/>
  <c r="AI7" i="3"/>
  <c r="AI15" i="3"/>
  <c r="AI6" i="3"/>
  <c r="AI21" i="3" s="1"/>
  <c r="AI24" i="3"/>
  <c r="AI14" i="3"/>
  <c r="AI22" i="3"/>
  <c r="AI9" i="3"/>
  <c r="AI8" i="3"/>
  <c r="AJ8" i="3" s="1"/>
  <c r="AK41" i="10"/>
  <c r="AK37" i="10"/>
  <c r="AL19" i="3" s="1"/>
  <c r="AK40" i="10"/>
  <c r="AL4" i="3" s="1"/>
  <c r="AK36" i="10"/>
  <c r="AK35" i="10"/>
  <c r="AK29" i="10"/>
  <c r="AL12" i="3" s="1"/>
  <c r="AK42" i="10"/>
  <c r="AK38" i="10"/>
  <c r="AK34" i="10"/>
  <c r="AL13" i="3" s="1"/>
  <c r="AK28" i="10"/>
  <c r="AK27" i="10"/>
  <c r="AK19" i="10"/>
  <c r="AJ26" i="10"/>
  <c r="AK18" i="10"/>
  <c r="AK16" i="10"/>
  <c r="AJ20" i="10"/>
  <c r="AK17" i="10"/>
  <c r="AI39" i="10"/>
  <c r="AJ20" i="3" s="1"/>
  <c r="AJ32" i="10" l="1"/>
  <c r="AK2" i="3"/>
  <c r="AL33" i="10"/>
  <c r="AL31" i="10"/>
  <c r="AM18" i="3" s="1"/>
  <c r="AL30" i="10"/>
  <c r="AM17" i="3" s="1"/>
  <c r="AK8" i="3"/>
  <c r="AJ24" i="3"/>
  <c r="AJ14" i="3"/>
  <c r="AJ7" i="3"/>
  <c r="AJ9" i="3" s="1"/>
  <c r="AJ15" i="3"/>
  <c r="AJ6" i="3"/>
  <c r="AJ21" i="3" s="1"/>
  <c r="AJ22" i="3"/>
  <c r="AJ39" i="10"/>
  <c r="AK20" i="3" s="1"/>
  <c r="AL42" i="10"/>
  <c r="AL38" i="10"/>
  <c r="AL34" i="10"/>
  <c r="AM13" i="3" s="1"/>
  <c r="AL41" i="10"/>
  <c r="AL37" i="10"/>
  <c r="AM19" i="3" s="1"/>
  <c r="AL40" i="10"/>
  <c r="AM4" i="3" s="1"/>
  <c r="AL36" i="10"/>
  <c r="AL35" i="10"/>
  <c r="AL29" i="10"/>
  <c r="AM12" i="3" s="1"/>
  <c r="AK20" i="10"/>
  <c r="AL17" i="10"/>
  <c r="AL28" i="10"/>
  <c r="AL27" i="10"/>
  <c r="AL19" i="10"/>
  <c r="AL16" i="10"/>
  <c r="AK26" i="10"/>
  <c r="AL18" i="10"/>
  <c r="AM33" i="10" l="1"/>
  <c r="AM31" i="10"/>
  <c r="AN18" i="3" s="1"/>
  <c r="AM30" i="10"/>
  <c r="AN17" i="3" s="1"/>
  <c r="AK22" i="3"/>
  <c r="AK14" i="3"/>
  <c r="AK7" i="3"/>
  <c r="AK9" i="3" s="1"/>
  <c r="AK15" i="3"/>
  <c r="AK6" i="3"/>
  <c r="AK21" i="3" s="1"/>
  <c r="AK24" i="3"/>
  <c r="AK32" i="10"/>
  <c r="AL2" i="3"/>
  <c r="AM35" i="10"/>
  <c r="AM42" i="10"/>
  <c r="AM38" i="10"/>
  <c r="AM34" i="10"/>
  <c r="AN13" i="3" s="1"/>
  <c r="AM41" i="10"/>
  <c r="AM37" i="10"/>
  <c r="AN19" i="3" s="1"/>
  <c r="AM40" i="10"/>
  <c r="AN4" i="3" s="1"/>
  <c r="AM36" i="10"/>
  <c r="AM29" i="10"/>
  <c r="AN12" i="3" s="1"/>
  <c r="AL26" i="10"/>
  <c r="AM18" i="10"/>
  <c r="AL20" i="10"/>
  <c r="AM17" i="10"/>
  <c r="AM28" i="10"/>
  <c r="AM16" i="10"/>
  <c r="AM27" i="10"/>
  <c r="AM19" i="10"/>
  <c r="AK39" i="10"/>
  <c r="AL20" i="3" s="1"/>
  <c r="AL7" i="3" l="1"/>
  <c r="AL24" i="3"/>
  <c r="AL14" i="3"/>
  <c r="AL6" i="3"/>
  <c r="AL21" i="3" s="1"/>
  <c r="AL22" i="3"/>
  <c r="AL15" i="3"/>
  <c r="AL9" i="3"/>
  <c r="AN33" i="10"/>
  <c r="AN30" i="10"/>
  <c r="AO17" i="3" s="1"/>
  <c r="AN31" i="10"/>
  <c r="AO18" i="3" s="1"/>
  <c r="AL32" i="10"/>
  <c r="AM2" i="3"/>
  <c r="AL8" i="3"/>
  <c r="AL39" i="10"/>
  <c r="AM20" i="3" s="1"/>
  <c r="AN40" i="10"/>
  <c r="AO4" i="3" s="1"/>
  <c r="AN36" i="10"/>
  <c r="AN35" i="10"/>
  <c r="AN42" i="10"/>
  <c r="AN38" i="10"/>
  <c r="AN34" i="10"/>
  <c r="AO13" i="3" s="1"/>
  <c r="AN41" i="10"/>
  <c r="AN37" i="10"/>
  <c r="AO19" i="3" s="1"/>
  <c r="AN27" i="10"/>
  <c r="AN19" i="10"/>
  <c r="AN29" i="10"/>
  <c r="AO12" i="3" s="1"/>
  <c r="AM26" i="10"/>
  <c r="AN18" i="10"/>
  <c r="AM20" i="10"/>
  <c r="AN17" i="10"/>
  <c r="AN28" i="10"/>
  <c r="AN16" i="10"/>
  <c r="AO33" i="10" l="1"/>
  <c r="AO31" i="10"/>
  <c r="AP18" i="3" s="1"/>
  <c r="AO30" i="10"/>
  <c r="AP17" i="3" s="1"/>
  <c r="AM32" i="10"/>
  <c r="AN2" i="3"/>
  <c r="AM7" i="3"/>
  <c r="AM15" i="3"/>
  <c r="AM22" i="3"/>
  <c r="AM6" i="3"/>
  <c r="AM21" i="3" s="1"/>
  <c r="AM24" i="3"/>
  <c r="AM14" i="3"/>
  <c r="AM9" i="3"/>
  <c r="AM8" i="3"/>
  <c r="AN8" i="3" s="1"/>
  <c r="AM39" i="10"/>
  <c r="AN20" i="3" s="1"/>
  <c r="AO41" i="10"/>
  <c r="AO37" i="10"/>
  <c r="AP19" i="3" s="1"/>
  <c r="AO40" i="10"/>
  <c r="AP4" i="3" s="1"/>
  <c r="AO36" i="10"/>
  <c r="AO35" i="10"/>
  <c r="AO29" i="10"/>
  <c r="AP12" i="3" s="1"/>
  <c r="AO42" i="10"/>
  <c r="AO38" i="10"/>
  <c r="AO34" i="10"/>
  <c r="AP13" i="3" s="1"/>
  <c r="AO28" i="10"/>
  <c r="AO27" i="10"/>
  <c r="AO19" i="10"/>
  <c r="AN26" i="10"/>
  <c r="AO18" i="10"/>
  <c r="AO16" i="10"/>
  <c r="AN20" i="10"/>
  <c r="AO17" i="10"/>
  <c r="AN32" i="10" l="1"/>
  <c r="AO2" i="3"/>
  <c r="AP33" i="10"/>
  <c r="AP31" i="10"/>
  <c r="AP30" i="10"/>
  <c r="AO8" i="3"/>
  <c r="AN15" i="3"/>
  <c r="AN6" i="3"/>
  <c r="AN21" i="3" s="1"/>
  <c r="AN24" i="3"/>
  <c r="AN14" i="3"/>
  <c r="AN22" i="3"/>
  <c r="AN7" i="3"/>
  <c r="AN9" i="3" s="1"/>
  <c r="AP42" i="10"/>
  <c r="AP38" i="10"/>
  <c r="AP34" i="10"/>
  <c r="AP41" i="10"/>
  <c r="AP37" i="10"/>
  <c r="AP40" i="10"/>
  <c r="AP36" i="10"/>
  <c r="AP35" i="10"/>
  <c r="AP29" i="10"/>
  <c r="AO20" i="10"/>
  <c r="AP17" i="10"/>
  <c r="AP28" i="10"/>
  <c r="AP16" i="10"/>
  <c r="AP27" i="10"/>
  <c r="AP19" i="10"/>
  <c r="AO26" i="10"/>
  <c r="AP18" i="10"/>
  <c r="AN39" i="10"/>
  <c r="AO20" i="3" s="1"/>
  <c r="AO32" i="10" l="1"/>
  <c r="AP2" i="3"/>
  <c r="AP8" i="3"/>
  <c r="AO22" i="3"/>
  <c r="AO24" i="3"/>
  <c r="AO14" i="3"/>
  <c r="AO7" i="3"/>
  <c r="AO9" i="3" s="1"/>
  <c r="AO15" i="3"/>
  <c r="AO6" i="3"/>
  <c r="AO21" i="3" s="1"/>
  <c r="AQ33" i="10"/>
  <c r="AQ31" i="10"/>
  <c r="AQ30" i="10"/>
  <c r="AQ35" i="10"/>
  <c r="AQ42" i="10"/>
  <c r="AQ38" i="10"/>
  <c r="AQ34" i="10"/>
  <c r="AQ41" i="10"/>
  <c r="AQ37" i="10"/>
  <c r="AQ40" i="10"/>
  <c r="AQ36" i="10"/>
  <c r="AP26" i="10"/>
  <c r="AP32" i="10" s="1"/>
  <c r="AQ18" i="10"/>
  <c r="AP20" i="10"/>
  <c r="AQ17" i="10"/>
  <c r="AQ29" i="10"/>
  <c r="AQ28" i="10"/>
  <c r="AQ16" i="10"/>
  <c r="AQ27" i="10"/>
  <c r="AQ19" i="10"/>
  <c r="AO39" i="10"/>
  <c r="AP20" i="3" s="1"/>
  <c r="AR33" i="10" l="1"/>
  <c r="AR30" i="10"/>
  <c r="AR31" i="10"/>
  <c r="AP7" i="3"/>
  <c r="AP24" i="3"/>
  <c r="AP14" i="3"/>
  <c r="AP6" i="3"/>
  <c r="AP21" i="3" s="1"/>
  <c r="AP22" i="3"/>
  <c r="AP15" i="3"/>
  <c r="AP9" i="3"/>
  <c r="AP39" i="10"/>
  <c r="AR40" i="10"/>
  <c r="AR36" i="10"/>
  <c r="AR35" i="10"/>
  <c r="AR42" i="10"/>
  <c r="AR38" i="10"/>
  <c r="AR34" i="10"/>
  <c r="AR41" i="10"/>
  <c r="AR37" i="10"/>
  <c r="AR27" i="10"/>
  <c r="AR19" i="10"/>
  <c r="AQ26" i="10"/>
  <c r="AQ32" i="10" s="1"/>
  <c r="AR18" i="10"/>
  <c r="AQ20" i="10"/>
  <c r="AR17" i="10"/>
  <c r="AR29" i="10"/>
  <c r="AR28" i="10"/>
  <c r="AR16" i="10"/>
  <c r="AS33" i="10" s="1"/>
  <c r="AQ39" i="10" l="1"/>
  <c r="AS41" i="10"/>
  <c r="AS37" i="10"/>
  <c r="AS40" i="10"/>
  <c r="AS36" i="10"/>
  <c r="AS35" i="10"/>
  <c r="AS29" i="10"/>
  <c r="AS42" i="10"/>
  <c r="AS38" i="10"/>
  <c r="AS34" i="10"/>
  <c r="AS28" i="10"/>
  <c r="AS27" i="10"/>
  <c r="AS19" i="10"/>
  <c r="AR26" i="10"/>
  <c r="AR32" i="10" s="1"/>
  <c r="AS18" i="10"/>
  <c r="AS16" i="10"/>
  <c r="AT33" i="10" s="1"/>
  <c r="AR20" i="10"/>
  <c r="AS17" i="10"/>
  <c r="AT42" i="10" l="1"/>
  <c r="AT38" i="10"/>
  <c r="AT34" i="10"/>
  <c r="AT41" i="10"/>
  <c r="AT37" i="10"/>
  <c r="AT40" i="10"/>
  <c r="AT36" i="10"/>
  <c r="AT35" i="10"/>
  <c r="AT29" i="10"/>
  <c r="AS20" i="10"/>
  <c r="AT17" i="10"/>
  <c r="AT28" i="10"/>
  <c r="AT27" i="10"/>
  <c r="AT19" i="10"/>
  <c r="AS26" i="10"/>
  <c r="AS32" i="10" s="1"/>
  <c r="AT18" i="10"/>
  <c r="AT16" i="10"/>
  <c r="AU33" i="10" s="1"/>
  <c r="AR39" i="10"/>
  <c r="AU35" i="10" l="1"/>
  <c r="AU42" i="10"/>
  <c r="AU38" i="10"/>
  <c r="AU34" i="10"/>
  <c r="AU41" i="10"/>
  <c r="AU37" i="10"/>
  <c r="AU40" i="10"/>
  <c r="AU36" i="10"/>
  <c r="AU29" i="10"/>
  <c r="AT26" i="10"/>
  <c r="AT32" i="10" s="1"/>
  <c r="AU18" i="10"/>
  <c r="AT20" i="10"/>
  <c r="AU17" i="10"/>
  <c r="AU28" i="10"/>
  <c r="AU16" i="10"/>
  <c r="AV33" i="10" s="1"/>
  <c r="AU27" i="10"/>
  <c r="AU19" i="10"/>
  <c r="AS39" i="10"/>
  <c r="AT39" i="10" l="1"/>
  <c r="AV40" i="10"/>
  <c r="AV36" i="10"/>
  <c r="AV35" i="10"/>
  <c r="AV42" i="10"/>
  <c r="AV38" i="10"/>
  <c r="AV34" i="10"/>
  <c r="AV41" i="10"/>
  <c r="AV37" i="10"/>
  <c r="AV27" i="10"/>
  <c r="AV19" i="10"/>
  <c r="AV29" i="10"/>
  <c r="AU26" i="10"/>
  <c r="AU32" i="10" s="1"/>
  <c r="AV18" i="10"/>
  <c r="AU20" i="10"/>
  <c r="AV17" i="10"/>
  <c r="AV28" i="10"/>
  <c r="AV16" i="10"/>
  <c r="AW33" i="10" s="1"/>
  <c r="AU39" i="10" l="1"/>
  <c r="AW41" i="10"/>
  <c r="AW37" i="10"/>
  <c r="AW40" i="10"/>
  <c r="AW36" i="10"/>
  <c r="AW35" i="10"/>
  <c r="AW29" i="10"/>
  <c r="AW42" i="10"/>
  <c r="AW38" i="10"/>
  <c r="AW34" i="10"/>
  <c r="AW28" i="10"/>
  <c r="AW16" i="10"/>
  <c r="AX33" i="10" s="1"/>
  <c r="AW27" i="10"/>
  <c r="AW19" i="10"/>
  <c r="AV26" i="10"/>
  <c r="AV32" i="10" s="1"/>
  <c r="AW18" i="10"/>
  <c r="AV20" i="10"/>
  <c r="AW17" i="10"/>
  <c r="AV39" i="10" l="1"/>
  <c r="AX42" i="10"/>
  <c r="AX38" i="10"/>
  <c r="AX34" i="10"/>
  <c r="AX41" i="10"/>
  <c r="AX37" i="10"/>
  <c r="AX40" i="10"/>
  <c r="AX36" i="10"/>
  <c r="AX35" i="10"/>
  <c r="AX29" i="10"/>
  <c r="AW20" i="10"/>
  <c r="AX17" i="10"/>
  <c r="AX28" i="10"/>
  <c r="AX27" i="10"/>
  <c r="AX19" i="10"/>
  <c r="AX16" i="10"/>
  <c r="AY33" i="10" s="1"/>
  <c r="AW26" i="10"/>
  <c r="AW32" i="10" s="1"/>
  <c r="AX18" i="10"/>
  <c r="AY35" i="10" l="1"/>
  <c r="AY42" i="10"/>
  <c r="AY38" i="10"/>
  <c r="AY34" i="10"/>
  <c r="AY41" i="10"/>
  <c r="AY37" i="10"/>
  <c r="AY40" i="10"/>
  <c r="AY36" i="10"/>
  <c r="AX26" i="10"/>
  <c r="AX32" i="10" s="1"/>
  <c r="AY18" i="10"/>
  <c r="AX20" i="10"/>
  <c r="AY17" i="10"/>
  <c r="AY29" i="10"/>
  <c r="AY28" i="10"/>
  <c r="AY16" i="10"/>
  <c r="AZ33" i="10" s="1"/>
  <c r="AY27" i="10"/>
  <c r="AY19" i="10"/>
  <c r="AW39" i="10"/>
  <c r="AX39" i="10" l="1"/>
  <c r="AZ40" i="10"/>
  <c r="AZ36" i="10"/>
  <c r="AZ35" i="10"/>
  <c r="AZ42" i="10"/>
  <c r="AZ38" i="10"/>
  <c r="AZ34" i="10"/>
  <c r="AZ41" i="10"/>
  <c r="AZ37" i="10"/>
  <c r="AZ27" i="10"/>
  <c r="AZ19" i="10"/>
  <c r="AY26" i="10"/>
  <c r="AY32" i="10" s="1"/>
  <c r="AZ18" i="10"/>
  <c r="AY20" i="10"/>
  <c r="AZ17" i="10"/>
  <c r="AZ29" i="10"/>
  <c r="AZ28" i="10"/>
  <c r="AZ16" i="10"/>
  <c r="BA33" i="10" s="1"/>
  <c r="AY39" i="10" l="1"/>
  <c r="BA41" i="10"/>
  <c r="BA37" i="10"/>
  <c r="BA40" i="10"/>
  <c r="BA36" i="10"/>
  <c r="BA35" i="10"/>
  <c r="BA29" i="10"/>
  <c r="BA42" i="10"/>
  <c r="BA38" i="10"/>
  <c r="BA34" i="10"/>
  <c r="BA28" i="10"/>
  <c r="BA27" i="10"/>
  <c r="BA19" i="10"/>
  <c r="AZ26" i="10"/>
  <c r="AZ32" i="10" s="1"/>
  <c r="BA18" i="10"/>
  <c r="AZ20" i="10"/>
  <c r="BA17" i="10"/>
  <c r="BA16" i="10"/>
  <c r="BB33" i="10" s="1"/>
  <c r="BB42" i="10" l="1"/>
  <c r="BB38" i="10"/>
  <c r="BB34" i="10"/>
  <c r="BB41" i="10"/>
  <c r="BB37" i="10"/>
  <c r="BB40" i="10"/>
  <c r="BB36" i="10"/>
  <c r="BB35" i="10"/>
  <c r="BB29" i="10"/>
  <c r="BA20" i="10"/>
  <c r="BB17" i="10"/>
  <c r="BB28" i="10"/>
  <c r="BB16" i="10"/>
  <c r="BC33" i="10" s="1"/>
  <c r="BB27" i="10"/>
  <c r="BB19" i="10"/>
  <c r="BA26" i="10"/>
  <c r="BA32" i="10" s="1"/>
  <c r="BB18" i="10"/>
  <c r="AZ39" i="10"/>
  <c r="BA39" i="10" l="1"/>
  <c r="BC35" i="10"/>
  <c r="BC42" i="10"/>
  <c r="BC38" i="10"/>
  <c r="BC34" i="10"/>
  <c r="BC41" i="10"/>
  <c r="BC37" i="10"/>
  <c r="BC40" i="10"/>
  <c r="BC36" i="10"/>
  <c r="BC29" i="10"/>
  <c r="BB26" i="10"/>
  <c r="BB32" i="10" s="1"/>
  <c r="BC18" i="10"/>
  <c r="BB20" i="10"/>
  <c r="BC17" i="10"/>
  <c r="BC28" i="10"/>
  <c r="BC16" i="10"/>
  <c r="BD33" i="10" s="1"/>
  <c r="BC27" i="10"/>
  <c r="BC19" i="10"/>
  <c r="BB39" i="10" l="1"/>
  <c r="BD40" i="10"/>
  <c r="BD36" i="10"/>
  <c r="BD35" i="10"/>
  <c r="BD42" i="10"/>
  <c r="BD38" i="10"/>
  <c r="BD34" i="10"/>
  <c r="BD41" i="10"/>
  <c r="BD37" i="10"/>
  <c r="BD27" i="10"/>
  <c r="BD19" i="10"/>
  <c r="BD29" i="10"/>
  <c r="BC26" i="10"/>
  <c r="BC32" i="10" s="1"/>
  <c r="BD18" i="10"/>
  <c r="BC20" i="10"/>
  <c r="BD17" i="10"/>
  <c r="BD28" i="10"/>
  <c r="BD16" i="10"/>
  <c r="BE33" i="10" s="1"/>
  <c r="BC39" i="10" l="1"/>
  <c r="BE41" i="10"/>
  <c r="BE37" i="10"/>
  <c r="BE40" i="10"/>
  <c r="BE36" i="10"/>
  <c r="BE35" i="10"/>
  <c r="BE29" i="10"/>
  <c r="BE42" i="10"/>
  <c r="BE38" i="10"/>
  <c r="BE34" i="10"/>
  <c r="BE28" i="10"/>
  <c r="BE27" i="10"/>
  <c r="BE19" i="10"/>
  <c r="BD26" i="10"/>
  <c r="BD32" i="10" s="1"/>
  <c r="BE18" i="10"/>
  <c r="BE16" i="10"/>
  <c r="BF33" i="10" s="1"/>
  <c r="BD20" i="10"/>
  <c r="BE17" i="10"/>
  <c r="BF42" i="10" l="1"/>
  <c r="BF38" i="10"/>
  <c r="BF34" i="10"/>
  <c r="BF41" i="10"/>
  <c r="BF37" i="10"/>
  <c r="BF40" i="10"/>
  <c r="BF36" i="10"/>
  <c r="BF35" i="10"/>
  <c r="BF29" i="10"/>
  <c r="BE20" i="10"/>
  <c r="BF17" i="10"/>
  <c r="BF28" i="10"/>
  <c r="BF16" i="10"/>
  <c r="BG33" i="10" s="1"/>
  <c r="BF27" i="10"/>
  <c r="BF19" i="10"/>
  <c r="BE26" i="10"/>
  <c r="BE32" i="10" s="1"/>
  <c r="BF18" i="10"/>
  <c r="BD39" i="10"/>
  <c r="BG35" i="10" l="1"/>
  <c r="BG42" i="10"/>
  <c r="BG38" i="10"/>
  <c r="BG34" i="10"/>
  <c r="BG41" i="10"/>
  <c r="BG37" i="10"/>
  <c r="BG40" i="10"/>
  <c r="BG36" i="10"/>
  <c r="BF26" i="10"/>
  <c r="BF32" i="10" s="1"/>
  <c r="BG18" i="10"/>
  <c r="BF20" i="10"/>
  <c r="BG17" i="10"/>
  <c r="BG29" i="10"/>
  <c r="BG28" i="10"/>
  <c r="BG16" i="10"/>
  <c r="BH33" i="10" s="1"/>
  <c r="BG27" i="10"/>
  <c r="BG19" i="10"/>
  <c r="BE39" i="10"/>
  <c r="BF39" i="10" l="1"/>
  <c r="BH40" i="10"/>
  <c r="BH36" i="10"/>
  <c r="BH35" i="10"/>
  <c r="BH42" i="10"/>
  <c r="BH38" i="10"/>
  <c r="BH34" i="10"/>
  <c r="BH41" i="10"/>
  <c r="BH37" i="10"/>
  <c r="BH27" i="10"/>
  <c r="BH19" i="10"/>
  <c r="BG26" i="10"/>
  <c r="BG32" i="10" s="1"/>
  <c r="BH18" i="10"/>
  <c r="BG20" i="10"/>
  <c r="BH17" i="10"/>
  <c r="BH29" i="10"/>
  <c r="BH28" i="10"/>
  <c r="BH16" i="10"/>
  <c r="BI33" i="10" s="1"/>
  <c r="BG39" i="10" l="1"/>
  <c r="BI41" i="10"/>
  <c r="BI37" i="10"/>
  <c r="BI40" i="10"/>
  <c r="BI36" i="10"/>
  <c r="BI35" i="10"/>
  <c r="BI29" i="10"/>
  <c r="BI42" i="10"/>
  <c r="BI38" i="10"/>
  <c r="BI34" i="10"/>
  <c r="BI28" i="10"/>
  <c r="BI27" i="10"/>
  <c r="BI19" i="10"/>
  <c r="BH26" i="10"/>
  <c r="BH32" i="10" s="1"/>
  <c r="BI18" i="10"/>
  <c r="BI16" i="10"/>
  <c r="BJ33" i="10" s="1"/>
  <c r="BH20" i="10"/>
  <c r="BI17" i="10"/>
  <c r="BJ42" i="10" l="1"/>
  <c r="BJ38" i="10"/>
  <c r="BJ34" i="10"/>
  <c r="BJ41" i="10"/>
  <c r="BJ37" i="10"/>
  <c r="BJ40" i="10"/>
  <c r="BJ36" i="10"/>
  <c r="BJ35" i="10"/>
  <c r="BJ29" i="10"/>
  <c r="BI20" i="10"/>
  <c r="BJ17" i="10"/>
  <c r="BJ28" i="10"/>
  <c r="BJ27" i="10"/>
  <c r="BJ19" i="10"/>
  <c r="BJ16" i="10"/>
  <c r="BK33" i="10" s="1"/>
  <c r="BI26" i="10"/>
  <c r="BI32" i="10" s="1"/>
  <c r="BJ18" i="10"/>
  <c r="BH39" i="10"/>
  <c r="BI39" i="10" l="1"/>
  <c r="BK35" i="10"/>
  <c r="BK42" i="10"/>
  <c r="BK38" i="10"/>
  <c r="BK34" i="10"/>
  <c r="BK41" i="10"/>
  <c r="BK37" i="10"/>
  <c r="BK40" i="10"/>
  <c r="BK36" i="10"/>
  <c r="BK29" i="10"/>
  <c r="BJ26" i="10"/>
  <c r="BJ32" i="10" s="1"/>
  <c r="BK18" i="10"/>
  <c r="BJ20" i="10"/>
  <c r="BK17" i="10"/>
  <c r="BK28" i="10"/>
  <c r="BK16" i="10"/>
  <c r="BL33" i="10" s="1"/>
  <c r="BK27" i="10"/>
  <c r="BK19" i="10"/>
  <c r="BJ39" i="10" l="1"/>
  <c r="BL40" i="10"/>
  <c r="BL36" i="10"/>
  <c r="BL35" i="10"/>
  <c r="BL42" i="10"/>
  <c r="BL38" i="10"/>
  <c r="BL34" i="10"/>
  <c r="BL41" i="10"/>
  <c r="BL37" i="10"/>
  <c r="BL27" i="10"/>
  <c r="BL19" i="10"/>
  <c r="BL29" i="10"/>
  <c r="BK26" i="10"/>
  <c r="BK32" i="10" s="1"/>
  <c r="BL18" i="10"/>
  <c r="BK20" i="10"/>
  <c r="BL17" i="10"/>
  <c r="BL28" i="10"/>
  <c r="BL16" i="10"/>
  <c r="BM33" i="10" s="1"/>
  <c r="BK39" i="10" l="1"/>
  <c r="BM41" i="10"/>
  <c r="BM37" i="10"/>
  <c r="BM40" i="10"/>
  <c r="BM36" i="10"/>
  <c r="BM35" i="10"/>
  <c r="BM29" i="10"/>
  <c r="BM42" i="10"/>
  <c r="BM38" i="10"/>
  <c r="BM34" i="10"/>
  <c r="BM28" i="10"/>
  <c r="BM16" i="10"/>
  <c r="BN33" i="10" s="1"/>
  <c r="BM27" i="10"/>
  <c r="BM19" i="10"/>
  <c r="BL26" i="10"/>
  <c r="BL32" i="10" s="1"/>
  <c r="BM18" i="10"/>
  <c r="BL20" i="10"/>
  <c r="BM17" i="10"/>
  <c r="BN42" i="10" l="1"/>
  <c r="BN38" i="10"/>
  <c r="BN34" i="10"/>
  <c r="BN41" i="10"/>
  <c r="BN37" i="10"/>
  <c r="BN40" i="10"/>
  <c r="BN36" i="10"/>
  <c r="BN35" i="10"/>
  <c r="BN29" i="10"/>
  <c r="BN28" i="10"/>
  <c r="BM20" i="10"/>
  <c r="BN17" i="10"/>
  <c r="BN16" i="10"/>
  <c r="BO33" i="10" s="1"/>
  <c r="BN27" i="10"/>
  <c r="BN19" i="10"/>
  <c r="BM26" i="10"/>
  <c r="BM32" i="10" s="1"/>
  <c r="BN18" i="10"/>
  <c r="BL39" i="10"/>
  <c r="BM39" i="10" l="1"/>
  <c r="BO35" i="10"/>
  <c r="BO42" i="10"/>
  <c r="BO38" i="10"/>
  <c r="BO34" i="10"/>
  <c r="BO41" i="10"/>
  <c r="BO37" i="10"/>
  <c r="BO40" i="10"/>
  <c r="BO36" i="10"/>
  <c r="BN26" i="10"/>
  <c r="BN32" i="10" s="1"/>
  <c r="BO18" i="10"/>
  <c r="BO28" i="10"/>
  <c r="BN20" i="10"/>
  <c r="BO17" i="10"/>
  <c r="BO29" i="10"/>
  <c r="BO16" i="10"/>
  <c r="BP33" i="10" s="1"/>
  <c r="BO27" i="10"/>
  <c r="BO19" i="10"/>
  <c r="BP40" i="10" l="1"/>
  <c r="BP36" i="10"/>
  <c r="BP35" i="10"/>
  <c r="BP42" i="10"/>
  <c r="BP38" i="10"/>
  <c r="BP34" i="10"/>
  <c r="BP41" i="10"/>
  <c r="BP37" i="10"/>
  <c r="BP27" i="10"/>
  <c r="BP19" i="10"/>
  <c r="BO26" i="10"/>
  <c r="BO32" i="10" s="1"/>
  <c r="BP18" i="10"/>
  <c r="BP28" i="10"/>
  <c r="BO20" i="10"/>
  <c r="BP17" i="10"/>
  <c r="BP29" i="10"/>
  <c r="BP16" i="10"/>
  <c r="BQ33" i="10" s="1"/>
  <c r="BN39" i="10"/>
  <c r="BQ41" i="10" l="1"/>
  <c r="BQ37" i="10"/>
  <c r="BQ40" i="10"/>
  <c r="BQ36" i="10"/>
  <c r="BQ35" i="10"/>
  <c r="BQ29" i="10"/>
  <c r="BQ42" i="10"/>
  <c r="BQ38" i="10"/>
  <c r="BQ34" i="10"/>
  <c r="BQ28" i="10"/>
  <c r="BQ27" i="10"/>
  <c r="BQ19" i="10"/>
  <c r="BP26" i="10"/>
  <c r="BP32" i="10" s="1"/>
  <c r="BQ18" i="10"/>
  <c r="BQ16" i="10"/>
  <c r="BR33" i="10" s="1"/>
  <c r="BP20" i="10"/>
  <c r="BQ17" i="10"/>
  <c r="BO39" i="10"/>
  <c r="BP39" i="10" l="1"/>
  <c r="BR42" i="10"/>
  <c r="BR38" i="10"/>
  <c r="BR34" i="10"/>
  <c r="BR41" i="10"/>
  <c r="BR37" i="10"/>
  <c r="BR40" i="10"/>
  <c r="BR36" i="10"/>
  <c r="BR35" i="10"/>
  <c r="BR29" i="10"/>
  <c r="BQ20" i="10"/>
  <c r="BR17" i="10"/>
  <c r="BR16" i="10"/>
  <c r="BS33" i="10" s="1"/>
  <c r="BR27" i="10"/>
  <c r="BR19" i="10"/>
  <c r="BR28" i="10"/>
  <c r="BQ26" i="10"/>
  <c r="BQ32" i="10" s="1"/>
  <c r="BR18" i="10"/>
  <c r="BQ39" i="10" l="1"/>
  <c r="BS35" i="10"/>
  <c r="BS42" i="10"/>
  <c r="BS38" i="10"/>
  <c r="BS34" i="10"/>
  <c r="BS41" i="10"/>
  <c r="BS37" i="10"/>
  <c r="BS40" i="10"/>
  <c r="BS36" i="10"/>
  <c r="BS29" i="10"/>
  <c r="BS28" i="10"/>
  <c r="BR26" i="10"/>
  <c r="BR32" i="10" s="1"/>
  <c r="BS18" i="10"/>
  <c r="BR20" i="10"/>
  <c r="BS17" i="10"/>
  <c r="BS16" i="10"/>
  <c r="BT33" i="10" s="1"/>
  <c r="BS27" i="10"/>
  <c r="BS19" i="10"/>
  <c r="BT40" i="10" l="1"/>
  <c r="BT36" i="10"/>
  <c r="BT35" i="10"/>
  <c r="BT42" i="10"/>
  <c r="BT38" i="10"/>
  <c r="BT34" i="10"/>
  <c r="BT41" i="10"/>
  <c r="BT37" i="10"/>
  <c r="BT27" i="10"/>
  <c r="BT19" i="10"/>
  <c r="BT29" i="10"/>
  <c r="BT28" i="10"/>
  <c r="BS26" i="10"/>
  <c r="BS32" i="10" s="1"/>
  <c r="BT18" i="10"/>
  <c r="BS20" i="10"/>
  <c r="BT17" i="10"/>
  <c r="BT16" i="10"/>
  <c r="BU33" i="10" s="1"/>
  <c r="BR39" i="10"/>
  <c r="BU41" i="10" l="1"/>
  <c r="BU37" i="10"/>
  <c r="BU40" i="10"/>
  <c r="BU36" i="10"/>
  <c r="BU35" i="10"/>
  <c r="BU29" i="10"/>
  <c r="BU42" i="10"/>
  <c r="BU38" i="10"/>
  <c r="BU34" i="10"/>
  <c r="BU28" i="10"/>
  <c r="BU16" i="10"/>
  <c r="BV33" i="10" s="1"/>
  <c r="BU27" i="10"/>
  <c r="BU19" i="10"/>
  <c r="BT26" i="10"/>
  <c r="BT32" i="10" s="1"/>
  <c r="BU18" i="10"/>
  <c r="BT20" i="10"/>
  <c r="BU17" i="10"/>
  <c r="BS39" i="10"/>
  <c r="BT39" i="10" l="1"/>
  <c r="BV42" i="10"/>
  <c r="BV38" i="10"/>
  <c r="BV34" i="10"/>
  <c r="BV41" i="10"/>
  <c r="BV37" i="10"/>
  <c r="BV40" i="10"/>
  <c r="BV36" i="10"/>
  <c r="BV35" i="10"/>
  <c r="BV29" i="10"/>
  <c r="BU20" i="10"/>
  <c r="BV17" i="10"/>
  <c r="BV16" i="10"/>
  <c r="BW33" i="10" s="1"/>
  <c r="BV28" i="10"/>
  <c r="BV27" i="10"/>
  <c r="BV19" i="10"/>
  <c r="BU26" i="10"/>
  <c r="BU32" i="10" s="1"/>
  <c r="BV18" i="10"/>
  <c r="BU39" i="10" l="1"/>
  <c r="BW35" i="10"/>
  <c r="BW42" i="10"/>
  <c r="BW38" i="10"/>
  <c r="BW34" i="10"/>
  <c r="BW41" i="10"/>
  <c r="BW37" i="10"/>
  <c r="BW40" i="10"/>
  <c r="BW36" i="10"/>
  <c r="BV26" i="10"/>
  <c r="BV32" i="10" s="1"/>
  <c r="BW18" i="10"/>
  <c r="BV20" i="10"/>
  <c r="BW17" i="10"/>
  <c r="BW29" i="10"/>
  <c r="BW16" i="10"/>
  <c r="BX33" i="10" s="1"/>
  <c r="BW28" i="10"/>
  <c r="BW27" i="10"/>
  <c r="BW19" i="10"/>
  <c r="BX40" i="10" l="1"/>
  <c r="BX36" i="10"/>
  <c r="BX35" i="10"/>
  <c r="BX42" i="10"/>
  <c r="BX38" i="10"/>
  <c r="BX34" i="10"/>
  <c r="BX41" i="10"/>
  <c r="BX37" i="10"/>
  <c r="BX28" i="10"/>
  <c r="BX27" i="10"/>
  <c r="BX19" i="10"/>
  <c r="BW26" i="10"/>
  <c r="BW32" i="10" s="1"/>
  <c r="BX18" i="10"/>
  <c r="BW20" i="10"/>
  <c r="BX17" i="10"/>
  <c r="BX29" i="10"/>
  <c r="BX16" i="10"/>
  <c r="BY33" i="10" s="1"/>
  <c r="BV39" i="10"/>
  <c r="BW39" i="10" l="1"/>
  <c r="BY41" i="10"/>
  <c r="BY37" i="10"/>
  <c r="BY40" i="10"/>
  <c r="BY36" i="10"/>
  <c r="BY35" i="10"/>
  <c r="BY29" i="10"/>
  <c r="BY42" i="10"/>
  <c r="BY38" i="10"/>
  <c r="BY34" i="10"/>
  <c r="BY28" i="10"/>
  <c r="BY27" i="10"/>
  <c r="BY19" i="10"/>
  <c r="BX26" i="10"/>
  <c r="BX32" i="10" s="1"/>
  <c r="BY18" i="10"/>
  <c r="BY16" i="10"/>
  <c r="BZ33" i="10" s="1"/>
  <c r="BX20" i="10"/>
  <c r="BY17" i="10"/>
  <c r="BZ42" i="10" l="1"/>
  <c r="BZ38" i="10"/>
  <c r="BZ34" i="10"/>
  <c r="BZ41" i="10"/>
  <c r="BZ37" i="10"/>
  <c r="BZ40" i="10"/>
  <c r="BZ36" i="10"/>
  <c r="BZ35" i="10"/>
  <c r="BZ29" i="10"/>
  <c r="BY20" i="10"/>
  <c r="BZ17" i="10"/>
  <c r="BZ28" i="10"/>
  <c r="BZ16" i="10"/>
  <c r="CA33" i="10" s="1"/>
  <c r="BZ27" i="10"/>
  <c r="BZ19" i="10"/>
  <c r="BY26" i="10"/>
  <c r="BY32" i="10" s="1"/>
  <c r="BZ18" i="10"/>
  <c r="BX39" i="10"/>
  <c r="BY39" i="10" l="1"/>
  <c r="CA35" i="10"/>
  <c r="CA42" i="10"/>
  <c r="CA38" i="10"/>
  <c r="CA34" i="10"/>
  <c r="CA41" i="10"/>
  <c r="CA37" i="10"/>
  <c r="CA40" i="10"/>
  <c r="CA36" i="10"/>
  <c r="CA29" i="10"/>
  <c r="BZ26" i="10"/>
  <c r="BZ32" i="10" s="1"/>
  <c r="CA18" i="10"/>
  <c r="BZ20" i="10"/>
  <c r="CA17" i="10"/>
  <c r="CA28" i="10"/>
  <c r="CA16" i="10"/>
  <c r="CB33" i="10" s="1"/>
  <c r="CA27" i="10"/>
  <c r="CA19" i="10"/>
  <c r="BZ39" i="10" l="1"/>
  <c r="CB40" i="10"/>
  <c r="CB36" i="10"/>
  <c r="CB35" i="10"/>
  <c r="CB42" i="10"/>
  <c r="CB38" i="10"/>
  <c r="CB34" i="10"/>
  <c r="CB41" i="10"/>
  <c r="CB37" i="10"/>
  <c r="CB27" i="10"/>
  <c r="CB19" i="10"/>
  <c r="CB29" i="10"/>
  <c r="CA26" i="10"/>
  <c r="CA32" i="10" s="1"/>
  <c r="CB18" i="10"/>
  <c r="CA20" i="10"/>
  <c r="CB17" i="10"/>
  <c r="CB28" i="10"/>
  <c r="CB16" i="10"/>
  <c r="CC33" i="10" s="1"/>
  <c r="CA39" i="10" l="1"/>
  <c r="CC41" i="10"/>
  <c r="CC37" i="10"/>
  <c r="CC40" i="10"/>
  <c r="CC36" i="10"/>
  <c r="CC35" i="10"/>
  <c r="CC29" i="10"/>
  <c r="CC42" i="10"/>
  <c r="CC38" i="10"/>
  <c r="CC34" i="10"/>
  <c r="CC28" i="10"/>
  <c r="CC27" i="10"/>
  <c r="CC19" i="10"/>
  <c r="CB26" i="10"/>
  <c r="CB32" i="10" s="1"/>
  <c r="CC18" i="10"/>
  <c r="CB20" i="10"/>
  <c r="CC17" i="10"/>
  <c r="CC16" i="10"/>
  <c r="CD33" i="10" s="1"/>
  <c r="CD42" i="10" l="1"/>
  <c r="CD38" i="10"/>
  <c r="CD34" i="10"/>
  <c r="CD41" i="10"/>
  <c r="CD37" i="10"/>
  <c r="CD40" i="10"/>
  <c r="CD36" i="10"/>
  <c r="CD35" i="10"/>
  <c r="CD29" i="10"/>
  <c r="CD28" i="10"/>
  <c r="CC20" i="10"/>
  <c r="CD17" i="10"/>
  <c r="CD16" i="10"/>
  <c r="CE33" i="10" s="1"/>
  <c r="CD27" i="10"/>
  <c r="CD19" i="10"/>
  <c r="CC26" i="10"/>
  <c r="CC32" i="10" s="1"/>
  <c r="CD18" i="10"/>
  <c r="CB39" i="10"/>
  <c r="CE35" i="10" l="1"/>
  <c r="CE42" i="10"/>
  <c r="CE38" i="10"/>
  <c r="CE34" i="10"/>
  <c r="CE41" i="10"/>
  <c r="CE37" i="10"/>
  <c r="CE40" i="10"/>
  <c r="CE36" i="10"/>
  <c r="CD26" i="10"/>
  <c r="CD32" i="10" s="1"/>
  <c r="CE18" i="10"/>
  <c r="CE28" i="10"/>
  <c r="CD20" i="10"/>
  <c r="CE17" i="10"/>
  <c r="CE29" i="10"/>
  <c r="CE16" i="10"/>
  <c r="CF33" i="10" s="1"/>
  <c r="CE27" i="10"/>
  <c r="CE19" i="10"/>
  <c r="CC39" i="10"/>
  <c r="CD39" i="10" l="1"/>
  <c r="CF40" i="10"/>
  <c r="CF36" i="10"/>
  <c r="CF35" i="10"/>
  <c r="CF42" i="10"/>
  <c r="CF38" i="10"/>
  <c r="CF34" i="10"/>
  <c r="CF28" i="10"/>
  <c r="CF41" i="10"/>
  <c r="CF37" i="10"/>
  <c r="CF27" i="10"/>
  <c r="CF19" i="10"/>
  <c r="CE26" i="10"/>
  <c r="CE32" i="10" s="1"/>
  <c r="CF18" i="10"/>
  <c r="CE20" i="10"/>
  <c r="CF17" i="10"/>
  <c r="CF29" i="10"/>
  <c r="CF16" i="10"/>
  <c r="CE39" i="10" l="1"/>
  <c r="CF26" i="10"/>
  <c r="CF32" i="10" s="1"/>
  <c r="CF20" i="10"/>
  <c r="CF39" i="10" l="1"/>
  <c r="B11" i="2" l="1"/>
  <c r="B7" i="5"/>
  <c r="B8" i="5"/>
  <c r="B5" i="5"/>
  <c r="B4" i="5"/>
  <c r="B5" i="9"/>
  <c r="B8" i="9"/>
  <c r="B7" i="9"/>
  <c r="B4" i="9"/>
  <c r="B3" i="9"/>
  <c r="B29" i="9"/>
  <c r="B27" i="9"/>
  <c r="B24" i="9"/>
  <c r="C23" i="9"/>
  <c r="B23" i="9"/>
  <c r="C21" i="9"/>
  <c r="B9" i="5"/>
  <c r="B22" i="5" s="1"/>
  <c r="B25" i="5"/>
  <c r="C23" i="5"/>
  <c r="C21" i="5"/>
  <c r="B13" i="10" l="1"/>
  <c r="C29" i="10" s="1"/>
  <c r="B12" i="2"/>
  <c r="B30" i="9"/>
  <c r="B31" i="9" s="1"/>
  <c r="D21" i="9"/>
  <c r="C24" i="9"/>
  <c r="D23" i="9"/>
  <c r="C27" i="9"/>
  <c r="C22" i="5"/>
  <c r="C25" i="5"/>
  <c r="C24" i="5"/>
  <c r="D21" i="5"/>
  <c r="C30" i="5"/>
  <c r="D23" i="5"/>
  <c r="B32" i="5"/>
  <c r="B30" i="5"/>
  <c r="B24" i="5"/>
  <c r="B23" i="5"/>
  <c r="G6" i="4"/>
  <c r="F7" i="4" s="1"/>
  <c r="D12" i="3" l="1"/>
  <c r="C30" i="10"/>
  <c r="D27" i="9"/>
  <c r="E23" i="9"/>
  <c r="E21" i="9"/>
  <c r="D24" i="9"/>
  <c r="D22" i="5"/>
  <c r="D25" i="5"/>
  <c r="D24" i="5"/>
  <c r="D30" i="5"/>
  <c r="E21" i="5"/>
  <c r="E25" i="5" s="1"/>
  <c r="E23" i="5"/>
  <c r="B33" i="5"/>
  <c r="B38" i="5"/>
  <c r="B39" i="5" s="1"/>
  <c r="G7" i="4"/>
  <c r="F8" i="4" l="1"/>
  <c r="G8" i="4" s="1"/>
  <c r="F21" i="9"/>
  <c r="E27" i="9"/>
  <c r="F23" i="9"/>
  <c r="B32" i="9"/>
  <c r="E24" i="9"/>
  <c r="B34" i="5"/>
  <c r="B35" i="5" s="1"/>
  <c r="B36" i="5" s="1"/>
  <c r="B37" i="5" s="1"/>
  <c r="E30" i="5"/>
  <c r="E22" i="5"/>
  <c r="F21" i="5"/>
  <c r="F23" i="5"/>
  <c r="E24" i="5"/>
  <c r="B40" i="5"/>
  <c r="B41" i="5" s="1"/>
  <c r="F25" i="5" l="1"/>
  <c r="F9" i="4"/>
  <c r="B33" i="9"/>
  <c r="G21" i="9"/>
  <c r="F27" i="9"/>
  <c r="G23" i="9"/>
  <c r="F24" i="9"/>
  <c r="B43" i="5"/>
  <c r="C31" i="5" s="1"/>
  <c r="B42" i="5"/>
  <c r="B44" i="5" s="1"/>
  <c r="C32" i="5"/>
  <c r="C33" i="5" s="1"/>
  <c r="C34" i="5" s="1"/>
  <c r="F30" i="5"/>
  <c r="G23" i="5"/>
  <c r="G21" i="5"/>
  <c r="F24" i="5"/>
  <c r="F22" i="5"/>
  <c r="G9" i="4"/>
  <c r="G25" i="5" l="1"/>
  <c r="F10" i="4"/>
  <c r="G27" i="9"/>
  <c r="H23" i="9"/>
  <c r="G25" i="9"/>
  <c r="H21" i="9"/>
  <c r="H24" i="9" s="1"/>
  <c r="G24" i="9"/>
  <c r="C35" i="5"/>
  <c r="B50" i="5"/>
  <c r="C38" i="5"/>
  <c r="C39" i="5" s="1"/>
  <c r="G22" i="5"/>
  <c r="G24" i="5"/>
  <c r="G30" i="5"/>
  <c r="H21" i="5"/>
  <c r="H23" i="5"/>
  <c r="G10" i="4"/>
  <c r="F11" i="4" s="1"/>
  <c r="H25" i="5" l="1"/>
  <c r="H27" i="9"/>
  <c r="I23" i="9"/>
  <c r="H25" i="9"/>
  <c r="I21" i="9"/>
  <c r="C36" i="5"/>
  <c r="C37" i="5" s="1"/>
  <c r="C40" i="5"/>
  <c r="C41" i="5" s="1"/>
  <c r="H24" i="5"/>
  <c r="H22" i="5"/>
  <c r="H30" i="5"/>
  <c r="I21" i="5"/>
  <c r="I23" i="5"/>
  <c r="G11" i="4"/>
  <c r="I25" i="5" l="1"/>
  <c r="F12" i="4"/>
  <c r="J21" i="9"/>
  <c r="I27" i="9"/>
  <c r="J23" i="9"/>
  <c r="I25" i="9"/>
  <c r="I24" i="9"/>
  <c r="C42" i="5"/>
  <c r="C44" i="5" s="1"/>
  <c r="C43" i="5"/>
  <c r="D32" i="5"/>
  <c r="I22" i="5"/>
  <c r="I24" i="5"/>
  <c r="I30" i="5"/>
  <c r="J23" i="5"/>
  <c r="J21" i="5"/>
  <c r="G12" i="4"/>
  <c r="F13" i="4" s="1"/>
  <c r="J25" i="9" l="1"/>
  <c r="K21" i="9"/>
  <c r="J27" i="9"/>
  <c r="K23" i="9"/>
  <c r="J24" i="9"/>
  <c r="J24" i="5"/>
  <c r="J25" i="5"/>
  <c r="C50" i="5"/>
  <c r="D31" i="5"/>
  <c r="D38" i="5"/>
  <c r="D39" i="5" s="1"/>
  <c r="D33" i="5"/>
  <c r="D34" i="5" s="1"/>
  <c r="J22" i="5"/>
  <c r="J30" i="5"/>
  <c r="K21" i="5"/>
  <c r="L35" i="5" s="1"/>
  <c r="K23" i="5"/>
  <c r="G13" i="4"/>
  <c r="F14" i="4" s="1"/>
  <c r="D35" i="5" l="1"/>
  <c r="L38" i="9"/>
  <c r="L34" i="9"/>
  <c r="L33" i="9"/>
  <c r="L40" i="9"/>
  <c r="L36" i="9"/>
  <c r="L32" i="9"/>
  <c r="L39" i="9"/>
  <c r="L35" i="9"/>
  <c r="L31" i="9"/>
  <c r="K27" i="9"/>
  <c r="L23" i="9"/>
  <c r="L30" i="9"/>
  <c r="K25" i="9"/>
  <c r="L22" i="9"/>
  <c r="L29" i="9"/>
  <c r="L21" i="9"/>
  <c r="L28" i="9"/>
  <c r="L24" i="9"/>
  <c r="K24" i="9"/>
  <c r="K24" i="5"/>
  <c r="K25" i="5"/>
  <c r="D40" i="5"/>
  <c r="D41" i="5" s="1"/>
  <c r="K22" i="5"/>
  <c r="K30" i="5"/>
  <c r="L21" i="5"/>
  <c r="M35" i="5" s="1"/>
  <c r="L23" i="5"/>
  <c r="G14" i="4"/>
  <c r="F15" i="4" l="1"/>
  <c r="L13" i="2"/>
  <c r="L43" i="10"/>
  <c r="M39" i="9"/>
  <c r="M35" i="9"/>
  <c r="M31" i="9"/>
  <c r="M38" i="9"/>
  <c r="M34" i="9"/>
  <c r="M33" i="9"/>
  <c r="M30" i="9"/>
  <c r="M40" i="9"/>
  <c r="M36" i="9"/>
  <c r="M32" i="9"/>
  <c r="M28" i="9"/>
  <c r="M24" i="9"/>
  <c r="L27" i="9"/>
  <c r="M23" i="9"/>
  <c r="L25" i="9"/>
  <c r="M22" i="9"/>
  <c r="M29" i="9"/>
  <c r="M21" i="9"/>
  <c r="L22" i="5"/>
  <c r="L25" i="5"/>
  <c r="D36" i="5"/>
  <c r="D37" i="5" s="1"/>
  <c r="E32" i="5"/>
  <c r="L24" i="5"/>
  <c r="L30" i="5"/>
  <c r="M23" i="5"/>
  <c r="M21" i="5"/>
  <c r="N35" i="5" s="1"/>
  <c r="G15" i="4" l="1"/>
  <c r="M13" i="2"/>
  <c r="M43" i="10"/>
  <c r="L37" i="9"/>
  <c r="N40" i="9"/>
  <c r="N36" i="9"/>
  <c r="N32" i="9"/>
  <c r="N39" i="9"/>
  <c r="N35" i="9"/>
  <c r="N31" i="9"/>
  <c r="N38" i="9"/>
  <c r="N34" i="9"/>
  <c r="N33" i="9"/>
  <c r="N30" i="9"/>
  <c r="N29" i="9"/>
  <c r="N21" i="9"/>
  <c r="N28" i="9"/>
  <c r="N24" i="9"/>
  <c r="M27" i="9"/>
  <c r="N23" i="9"/>
  <c r="M25" i="9"/>
  <c r="N22" i="9"/>
  <c r="M22" i="5"/>
  <c r="M25" i="5"/>
  <c r="D42" i="5"/>
  <c r="D44" i="5" s="1"/>
  <c r="D50" i="5" s="1"/>
  <c r="D43" i="5"/>
  <c r="E31" i="5" s="1"/>
  <c r="E38" i="5"/>
  <c r="E39" i="5" s="1"/>
  <c r="E33" i="5"/>
  <c r="E34" i="5" s="1"/>
  <c r="M24" i="5"/>
  <c r="M30" i="5"/>
  <c r="N21" i="5"/>
  <c r="O35" i="5" s="1"/>
  <c r="N23" i="5"/>
  <c r="I6" i="4" l="1"/>
  <c r="F16" i="4"/>
  <c r="E35" i="5"/>
  <c r="N13" i="2"/>
  <c r="N43" i="10"/>
  <c r="M37" i="9"/>
  <c r="O33" i="9"/>
  <c r="O30" i="9"/>
  <c r="O40" i="9"/>
  <c r="O36" i="9"/>
  <c r="O32" i="9"/>
  <c r="O39" i="9"/>
  <c r="O35" i="9"/>
  <c r="O31" i="9"/>
  <c r="O38" i="9"/>
  <c r="O34" i="9"/>
  <c r="N25" i="9"/>
  <c r="O22" i="9"/>
  <c r="O29" i="9"/>
  <c r="O21" i="9"/>
  <c r="O28" i="9"/>
  <c r="O24" i="9"/>
  <c r="N27" i="9"/>
  <c r="O23" i="9"/>
  <c r="N22" i="5"/>
  <c r="N25" i="5"/>
  <c r="E40" i="5"/>
  <c r="E41" i="5" s="1"/>
  <c r="N24" i="5"/>
  <c r="N30" i="5"/>
  <c r="O23" i="5"/>
  <c r="O21" i="5"/>
  <c r="P35" i="5" s="1"/>
  <c r="O24" i="5"/>
  <c r="O22" i="5"/>
  <c r="G16" i="4" l="1"/>
  <c r="O13" i="2"/>
  <c r="O43" i="10"/>
  <c r="N37" i="9"/>
  <c r="P38" i="9"/>
  <c r="P34" i="9"/>
  <c r="P33" i="9"/>
  <c r="P40" i="9"/>
  <c r="P36" i="9"/>
  <c r="P32" i="9"/>
  <c r="P39" i="9"/>
  <c r="P35" i="9"/>
  <c r="P31" i="9"/>
  <c r="O27" i="9"/>
  <c r="P23" i="9"/>
  <c r="O25" i="9"/>
  <c r="P22" i="9"/>
  <c r="P30" i="9"/>
  <c r="P29" i="9"/>
  <c r="P21" i="9"/>
  <c r="P28" i="9"/>
  <c r="P24" i="9"/>
  <c r="O25" i="5"/>
  <c r="E36" i="5"/>
  <c r="E37" i="5" s="1"/>
  <c r="F32" i="5"/>
  <c r="O30" i="5"/>
  <c r="P21" i="5"/>
  <c r="Q35" i="5" s="1"/>
  <c r="P23" i="5"/>
  <c r="F17" i="4" l="1"/>
  <c r="I7" i="4"/>
  <c r="P13" i="2"/>
  <c r="P43" i="10"/>
  <c r="O37" i="9"/>
  <c r="Q39" i="9"/>
  <c r="Q35" i="9"/>
  <c r="Q31" i="9"/>
  <c r="Q38" i="9"/>
  <c r="Q34" i="9"/>
  <c r="Q33" i="9"/>
  <c r="Q30" i="9"/>
  <c r="Q40" i="9"/>
  <c r="Q36" i="9"/>
  <c r="Q32" i="9"/>
  <c r="Q28" i="9"/>
  <c r="Q24" i="9"/>
  <c r="P27" i="9"/>
  <c r="Q23" i="9"/>
  <c r="P25" i="9"/>
  <c r="Q22" i="9"/>
  <c r="Q29" i="9"/>
  <c r="Q21" i="9"/>
  <c r="P22" i="5"/>
  <c r="P25" i="5"/>
  <c r="E42" i="5"/>
  <c r="E44" i="5" s="1"/>
  <c r="E50" i="5" s="1"/>
  <c r="E43" i="5"/>
  <c r="F31" i="5" s="1"/>
  <c r="F33" i="5"/>
  <c r="F34" i="5" s="1"/>
  <c r="F38" i="5"/>
  <c r="F39" i="5" s="1"/>
  <c r="P24" i="5"/>
  <c r="P30" i="5"/>
  <c r="Q21" i="5"/>
  <c r="R35" i="5" s="1"/>
  <c r="Q23" i="5"/>
  <c r="G17" i="4" l="1"/>
  <c r="F35" i="5"/>
  <c r="F36" i="5" s="1"/>
  <c r="Q13" i="2"/>
  <c r="Q43" i="10"/>
  <c r="P37" i="9"/>
  <c r="R40" i="9"/>
  <c r="R36" i="9"/>
  <c r="R32" i="9"/>
  <c r="R39" i="9"/>
  <c r="R35" i="9"/>
  <c r="R31" i="9"/>
  <c r="R38" i="9"/>
  <c r="R34" i="9"/>
  <c r="R33" i="9"/>
  <c r="R30" i="9"/>
  <c r="R29" i="9"/>
  <c r="R21" i="9"/>
  <c r="R28" i="9"/>
  <c r="R24" i="9"/>
  <c r="Q27" i="9"/>
  <c r="R23" i="9"/>
  <c r="Q25" i="9"/>
  <c r="R22" i="9"/>
  <c r="Q25" i="5"/>
  <c r="Q24" i="5"/>
  <c r="Q22" i="5"/>
  <c r="F40" i="5"/>
  <c r="F41" i="5" s="1"/>
  <c r="Q30" i="5"/>
  <c r="R21" i="5"/>
  <c r="S35" i="5" s="1"/>
  <c r="R23" i="5"/>
  <c r="I8" i="4" l="1"/>
  <c r="F18" i="4"/>
  <c r="R13" i="2"/>
  <c r="R43" i="10"/>
  <c r="Q37" i="9"/>
  <c r="S33" i="9"/>
  <c r="S30" i="9"/>
  <c r="S40" i="9"/>
  <c r="S36" i="9"/>
  <c r="S32" i="9"/>
  <c r="S39" i="9"/>
  <c r="S35" i="9"/>
  <c r="S31" i="9"/>
  <c r="S38" i="9"/>
  <c r="S34" i="9"/>
  <c r="R25" i="9"/>
  <c r="S22" i="9"/>
  <c r="S29" i="9"/>
  <c r="S21" i="9"/>
  <c r="S28" i="9"/>
  <c r="S24" i="9"/>
  <c r="R27" i="9"/>
  <c r="S23" i="9"/>
  <c r="R25" i="5"/>
  <c r="R22" i="5"/>
  <c r="R24" i="5"/>
  <c r="F42" i="5"/>
  <c r="F44" i="5" s="1"/>
  <c r="F43" i="5"/>
  <c r="F37" i="5"/>
  <c r="G32" i="5"/>
  <c r="R30" i="5"/>
  <c r="S21" i="5"/>
  <c r="T35" i="5" s="1"/>
  <c r="S24" i="5"/>
  <c r="S23" i="5"/>
  <c r="S22" i="5"/>
  <c r="G18" i="4" l="1"/>
  <c r="G31" i="5"/>
  <c r="S13" i="2"/>
  <c r="S43" i="10"/>
  <c r="R37" i="9"/>
  <c r="T38" i="9"/>
  <c r="T34" i="9"/>
  <c r="T33" i="9"/>
  <c r="T40" i="9"/>
  <c r="T13" i="2" s="1"/>
  <c r="T36" i="9"/>
  <c r="T32" i="9"/>
  <c r="T39" i="9"/>
  <c r="T35" i="9"/>
  <c r="T31" i="9"/>
  <c r="S27" i="9"/>
  <c r="T23" i="9"/>
  <c r="S25" i="9"/>
  <c r="T22" i="9"/>
  <c r="T29" i="9"/>
  <c r="T21" i="9"/>
  <c r="T30" i="9"/>
  <c r="T28" i="9"/>
  <c r="T24" i="9"/>
  <c r="S25" i="5"/>
  <c r="F50" i="5"/>
  <c r="G38" i="5"/>
  <c r="G39" i="5" s="1"/>
  <c r="G33" i="5"/>
  <c r="S30" i="5"/>
  <c r="T21" i="5"/>
  <c r="U35" i="5" s="1"/>
  <c r="T23" i="5"/>
  <c r="T24" i="5"/>
  <c r="F19" i="4" l="1"/>
  <c r="I9" i="4"/>
  <c r="S37" i="9"/>
  <c r="U39" i="9"/>
  <c r="U35" i="9"/>
  <c r="U31" i="9"/>
  <c r="U38" i="9"/>
  <c r="U34" i="9"/>
  <c r="U33" i="9"/>
  <c r="U30" i="9"/>
  <c r="U40" i="9"/>
  <c r="U13" i="2" s="1"/>
  <c r="U36" i="9"/>
  <c r="U32" i="9"/>
  <c r="U28" i="9"/>
  <c r="U24" i="9"/>
  <c r="T27" i="9"/>
  <c r="U23" i="9"/>
  <c r="T25" i="9"/>
  <c r="U22" i="9"/>
  <c r="U29" i="9"/>
  <c r="U21" i="9"/>
  <c r="G34" i="5"/>
  <c r="G35" i="5" s="1"/>
  <c r="G36" i="5" s="1"/>
  <c r="G37" i="5" s="1"/>
  <c r="T25" i="5"/>
  <c r="T22" i="5"/>
  <c r="G40" i="5"/>
  <c r="G41" i="5" s="1"/>
  <c r="T30" i="5"/>
  <c r="U24" i="5"/>
  <c r="U23" i="5"/>
  <c r="U22" i="5"/>
  <c r="U21" i="5"/>
  <c r="V35" i="5" s="1"/>
  <c r="G19" i="4" l="1"/>
  <c r="T37" i="9"/>
  <c r="V40" i="9"/>
  <c r="V13" i="2" s="1"/>
  <c r="V36" i="9"/>
  <c r="V32" i="9"/>
  <c r="V39" i="9"/>
  <c r="V35" i="9"/>
  <c r="V31" i="9"/>
  <c r="V38" i="9"/>
  <c r="V34" i="9"/>
  <c r="V33" i="9"/>
  <c r="V30" i="9"/>
  <c r="V29" i="9"/>
  <c r="V21" i="9"/>
  <c r="V28" i="9"/>
  <c r="V24" i="9"/>
  <c r="U27" i="9"/>
  <c r="V23" i="9"/>
  <c r="U25" i="9"/>
  <c r="V22" i="9"/>
  <c r="U25" i="5"/>
  <c r="V42" i="5"/>
  <c r="V44" i="5"/>
  <c r="V43" i="5"/>
  <c r="G42" i="5"/>
  <c r="G44" i="5" s="1"/>
  <c r="H32" i="5"/>
  <c r="H38" i="5" s="1"/>
  <c r="H39" i="5" s="1"/>
  <c r="G43" i="5"/>
  <c r="U30" i="5"/>
  <c r="V24" i="5"/>
  <c r="V32" i="5"/>
  <c r="V39" i="5"/>
  <c r="V37" i="5"/>
  <c r="V33" i="5"/>
  <c r="V36" i="5"/>
  <c r="V22" i="5"/>
  <c r="V40" i="5"/>
  <c r="V21" i="5"/>
  <c r="W35" i="5" s="1"/>
  <c r="V31" i="5"/>
  <c r="V38" i="5"/>
  <c r="V23" i="5"/>
  <c r="F20" i="4" l="1"/>
  <c r="I10" i="4"/>
  <c r="U37" i="9"/>
  <c r="W33" i="9"/>
  <c r="W30" i="9"/>
  <c r="W40" i="9"/>
  <c r="W13" i="2" s="1"/>
  <c r="W36" i="9"/>
  <c r="W32" i="9"/>
  <c r="W39" i="9"/>
  <c r="W35" i="9"/>
  <c r="W31" i="9"/>
  <c r="W38" i="9"/>
  <c r="W34" i="9"/>
  <c r="V25" i="9"/>
  <c r="W22" i="9"/>
  <c r="W29" i="9"/>
  <c r="W21" i="9"/>
  <c r="W28" i="9"/>
  <c r="W24" i="9"/>
  <c r="V27" i="9"/>
  <c r="W23" i="9"/>
  <c r="W43" i="5"/>
  <c r="V25" i="5"/>
  <c r="W42" i="5"/>
  <c r="W44" i="5"/>
  <c r="H33" i="5"/>
  <c r="H34" i="5" s="1"/>
  <c r="H40" i="5"/>
  <c r="H41" i="5" s="1"/>
  <c r="H31" i="5"/>
  <c r="V30" i="5"/>
  <c r="W38" i="5"/>
  <c r="W23" i="5"/>
  <c r="W32" i="5"/>
  <c r="W21" i="5"/>
  <c r="W31" i="5"/>
  <c r="W22" i="5"/>
  <c r="W36" i="5"/>
  <c r="W39" i="5"/>
  <c r="W24" i="5"/>
  <c r="W40" i="5"/>
  <c r="W37" i="5"/>
  <c r="W33" i="5"/>
  <c r="H35" i="5" l="1"/>
  <c r="W30" i="5"/>
  <c r="X35" i="5"/>
  <c r="G20" i="4"/>
  <c r="V37" i="9"/>
  <c r="W34" i="5"/>
  <c r="X38" i="9"/>
  <c r="X34" i="9"/>
  <c r="X33" i="9"/>
  <c r="X40" i="9"/>
  <c r="X13" i="2" s="1"/>
  <c r="X36" i="9"/>
  <c r="X32" i="9"/>
  <c r="X39" i="9"/>
  <c r="X35" i="9"/>
  <c r="X31" i="9"/>
  <c r="X30" i="9"/>
  <c r="W27" i="9"/>
  <c r="X23" i="9"/>
  <c r="W25" i="9"/>
  <c r="X22" i="9"/>
  <c r="X29" i="9"/>
  <c r="X21" i="9"/>
  <c r="X28" i="9"/>
  <c r="X24" i="9"/>
  <c r="V41" i="5"/>
  <c r="V34" i="5"/>
  <c r="X44" i="5"/>
  <c r="X43" i="5"/>
  <c r="W25" i="5"/>
  <c r="X42" i="5"/>
  <c r="I32" i="5"/>
  <c r="W41" i="5"/>
  <c r="X38" i="5"/>
  <c r="X24" i="5"/>
  <c r="X39" i="5"/>
  <c r="X31" i="5"/>
  <c r="X23" i="5"/>
  <c r="X36" i="5"/>
  <c r="X32" i="5"/>
  <c r="X22" i="5"/>
  <c r="X40" i="5"/>
  <c r="X33" i="5"/>
  <c r="X21" i="5"/>
  <c r="Y35" i="5" s="1"/>
  <c r="X37" i="5"/>
  <c r="F21" i="4" l="1"/>
  <c r="J6" i="4"/>
  <c r="I11" i="4"/>
  <c r="W37" i="9"/>
  <c r="Y39" i="9"/>
  <c r="Y35" i="9"/>
  <c r="Y31" i="9"/>
  <c r="Y38" i="9"/>
  <c r="Y34" i="9"/>
  <c r="Y33" i="9"/>
  <c r="Y30" i="9"/>
  <c r="Y40" i="9"/>
  <c r="Y13" i="2" s="1"/>
  <c r="Y36" i="9"/>
  <c r="Y32" i="9"/>
  <c r="Y28" i="9"/>
  <c r="Y24" i="9"/>
  <c r="X27" i="9"/>
  <c r="Y23" i="9"/>
  <c r="X25" i="9"/>
  <c r="Y22" i="9"/>
  <c r="Y29" i="9"/>
  <c r="Y21" i="9"/>
  <c r="Y42" i="5"/>
  <c r="Y44" i="5"/>
  <c r="Y43" i="5"/>
  <c r="X25" i="5"/>
  <c r="H36" i="5"/>
  <c r="H37" i="5" s="1"/>
  <c r="I38" i="5"/>
  <c r="I39" i="5" s="1"/>
  <c r="I33" i="5"/>
  <c r="I34" i="5" s="1"/>
  <c r="X30" i="5"/>
  <c r="Y23" i="5"/>
  <c r="Y39" i="5"/>
  <c r="Y31" i="5"/>
  <c r="Y22" i="5"/>
  <c r="Y33" i="5"/>
  <c r="Y32" i="5"/>
  <c r="Y24" i="5"/>
  <c r="Y38" i="5"/>
  <c r="Y40" i="5"/>
  <c r="Y37" i="5"/>
  <c r="Y21" i="5"/>
  <c r="Z35" i="5" s="1"/>
  <c r="Y36" i="5"/>
  <c r="G21" i="4" l="1"/>
  <c r="X37" i="9"/>
  <c r="Z40" i="9"/>
  <c r="Z13" i="2" s="1"/>
  <c r="Z36" i="9"/>
  <c r="Z32" i="9"/>
  <c r="Z39" i="9"/>
  <c r="Z35" i="9"/>
  <c r="Z31" i="9"/>
  <c r="Z38" i="9"/>
  <c r="Z34" i="9"/>
  <c r="Z33" i="9"/>
  <c r="Z30" i="9"/>
  <c r="Z29" i="9"/>
  <c r="Z21" i="9"/>
  <c r="Z28" i="9"/>
  <c r="Z24" i="9"/>
  <c r="Y27" i="9"/>
  <c r="Z23" i="9"/>
  <c r="Y25" i="9"/>
  <c r="Z22" i="9"/>
  <c r="X41" i="5"/>
  <c r="X34" i="5"/>
  <c r="Y25" i="5"/>
  <c r="Z42" i="5"/>
  <c r="Z44" i="5"/>
  <c r="Z43" i="5"/>
  <c r="H42" i="5"/>
  <c r="H44" i="5" s="1"/>
  <c r="H43" i="5"/>
  <c r="I31" i="5" s="1"/>
  <c r="I35" i="5" s="1"/>
  <c r="I40" i="5"/>
  <c r="I41" i="5" s="1"/>
  <c r="Y30" i="5"/>
  <c r="Z24" i="5"/>
  <c r="Z32" i="5"/>
  <c r="Z39" i="5"/>
  <c r="Z31" i="5"/>
  <c r="Z23" i="5"/>
  <c r="Z37" i="5"/>
  <c r="Z33" i="5"/>
  <c r="Z36" i="5"/>
  <c r="Z22" i="5"/>
  <c r="Z38" i="5"/>
  <c r="Z40" i="5"/>
  <c r="Z21" i="5"/>
  <c r="AA35" i="5" s="1"/>
  <c r="F22" i="4" l="1"/>
  <c r="J7" i="4"/>
  <c r="I12" i="4"/>
  <c r="Y37" i="9"/>
  <c r="AA33" i="9"/>
  <c r="AA30" i="9"/>
  <c r="AA40" i="9"/>
  <c r="AA13" i="2" s="1"/>
  <c r="AA36" i="9"/>
  <c r="AA32" i="9"/>
  <c r="AA39" i="9"/>
  <c r="AA35" i="9"/>
  <c r="AA31" i="9"/>
  <c r="AA38" i="9"/>
  <c r="AA34" i="9"/>
  <c r="Z25" i="9"/>
  <c r="AA22" i="9"/>
  <c r="AA29" i="9"/>
  <c r="AA21" i="9"/>
  <c r="AA28" i="9"/>
  <c r="AA24" i="9"/>
  <c r="Z27" i="9"/>
  <c r="AA23" i="9"/>
  <c r="Y41" i="5"/>
  <c r="Y34" i="5"/>
  <c r="AA43" i="5"/>
  <c r="Z25" i="5"/>
  <c r="AA42" i="5"/>
  <c r="AA44" i="5"/>
  <c r="J32" i="5"/>
  <c r="I36" i="5"/>
  <c r="I37" i="5" s="1"/>
  <c r="Z30" i="5"/>
  <c r="AA38" i="5"/>
  <c r="AA23" i="5"/>
  <c r="AA31" i="5"/>
  <c r="AA22" i="5"/>
  <c r="AA40" i="5"/>
  <c r="AA24" i="5"/>
  <c r="AA36" i="5"/>
  <c r="AA32" i="5"/>
  <c r="AA39" i="5"/>
  <c r="AA21" i="5"/>
  <c r="AB35" i="5" s="1"/>
  <c r="AA33" i="5"/>
  <c r="AA37" i="5"/>
  <c r="G22" i="4" l="1"/>
  <c r="AB38" i="9"/>
  <c r="AB34" i="9"/>
  <c r="AB33" i="9"/>
  <c r="AB40" i="9"/>
  <c r="AB36" i="9"/>
  <c r="AB32" i="9"/>
  <c r="AB39" i="9"/>
  <c r="AB35" i="9"/>
  <c r="AB31" i="9"/>
  <c r="AA27" i="9"/>
  <c r="AB23" i="9"/>
  <c r="AB30" i="9"/>
  <c r="AA25" i="9"/>
  <c r="AB22" i="9"/>
  <c r="AB29" i="9"/>
  <c r="AB21" i="9"/>
  <c r="AB28" i="9"/>
  <c r="AB24" i="9"/>
  <c r="Z37" i="9"/>
  <c r="Z41" i="5"/>
  <c r="Z34" i="5"/>
  <c r="AB44" i="5"/>
  <c r="AB43" i="5"/>
  <c r="AA25" i="5"/>
  <c r="AB42" i="5"/>
  <c r="I42" i="5"/>
  <c r="I44" i="5" s="1"/>
  <c r="I43" i="5"/>
  <c r="J38" i="5"/>
  <c r="J39" i="5" s="1"/>
  <c r="J33" i="5"/>
  <c r="J34" i="5" s="1"/>
  <c r="AA30" i="5"/>
  <c r="AB36" i="5"/>
  <c r="AB32" i="5"/>
  <c r="AB22" i="5"/>
  <c r="AB40" i="5"/>
  <c r="AB37" i="5"/>
  <c r="AB33" i="5"/>
  <c r="AB21" i="5"/>
  <c r="AC35" i="5" s="1"/>
  <c r="AB38" i="5"/>
  <c r="AB24" i="5"/>
  <c r="AB39" i="5"/>
  <c r="AB31" i="5"/>
  <c r="AB23" i="5"/>
  <c r="F23" i="4" l="1"/>
  <c r="I13" i="4"/>
  <c r="J8" i="4"/>
  <c r="AA37" i="9"/>
  <c r="AC39" i="9"/>
  <c r="AC35" i="9"/>
  <c r="AC31" i="9"/>
  <c r="AC38" i="9"/>
  <c r="AC34" i="9"/>
  <c r="AC33" i="9"/>
  <c r="AC30" i="9"/>
  <c r="AC40" i="9"/>
  <c r="AC36" i="9"/>
  <c r="AC32" i="9"/>
  <c r="AC28" i="9"/>
  <c r="AC24" i="9"/>
  <c r="AB27" i="9"/>
  <c r="AC23" i="9"/>
  <c r="AB25" i="9"/>
  <c r="AC22" i="9"/>
  <c r="AC29" i="9"/>
  <c r="AC21" i="9"/>
  <c r="AA41" i="5"/>
  <c r="AA34" i="5"/>
  <c r="AC42" i="5"/>
  <c r="AC44" i="5"/>
  <c r="AC43" i="5"/>
  <c r="AB25" i="5"/>
  <c r="J40" i="5"/>
  <c r="J41" i="5" s="1"/>
  <c r="J31" i="5"/>
  <c r="J35" i="5" s="1"/>
  <c r="AB30" i="5"/>
  <c r="AC39" i="5"/>
  <c r="AC31" i="5"/>
  <c r="AC22" i="5"/>
  <c r="AC33" i="5"/>
  <c r="AC36" i="5"/>
  <c r="AC32" i="5"/>
  <c r="AC21" i="5"/>
  <c r="AD35" i="5" s="1"/>
  <c r="AC38" i="5"/>
  <c r="AC40" i="5"/>
  <c r="AC37" i="5"/>
  <c r="AC24" i="5"/>
  <c r="AC23" i="5"/>
  <c r="G23" i="4" l="1"/>
  <c r="AD40" i="9"/>
  <c r="AD36" i="9"/>
  <c r="AD32" i="9"/>
  <c r="AD39" i="9"/>
  <c r="AD35" i="9"/>
  <c r="AD31" i="9"/>
  <c r="AD38" i="9"/>
  <c r="AD34" i="9"/>
  <c r="AD33" i="9"/>
  <c r="AD30" i="9"/>
  <c r="AD29" i="9"/>
  <c r="AD21" i="9"/>
  <c r="AD28" i="9"/>
  <c r="AD24" i="9"/>
  <c r="AC27" i="9"/>
  <c r="AD23" i="9"/>
  <c r="AC25" i="9"/>
  <c r="AD22" i="9"/>
  <c r="AB37" i="9"/>
  <c r="AB41" i="5"/>
  <c r="AB34" i="5"/>
  <c r="AC25" i="5"/>
  <c r="AD42" i="5"/>
  <c r="AD44" i="5"/>
  <c r="AD43" i="5"/>
  <c r="K32" i="5"/>
  <c r="J36" i="5"/>
  <c r="J37" i="5" s="1"/>
  <c r="AC30" i="5"/>
  <c r="AD24" i="5"/>
  <c r="AD32" i="5"/>
  <c r="AD39" i="5"/>
  <c r="AD31" i="5"/>
  <c r="AD23" i="5"/>
  <c r="AD37" i="5"/>
  <c r="AD33" i="5"/>
  <c r="AD36" i="5"/>
  <c r="AD22" i="5"/>
  <c r="AD21" i="5"/>
  <c r="AE35" i="5" s="1"/>
  <c r="AD40" i="5"/>
  <c r="AD38" i="5"/>
  <c r="F24" i="4" l="1"/>
  <c r="I14" i="4"/>
  <c r="J9" i="4"/>
  <c r="AC37" i="9"/>
  <c r="AE33" i="9"/>
  <c r="AE30" i="9"/>
  <c r="AE40" i="9"/>
  <c r="AE36" i="9"/>
  <c r="AE32" i="9"/>
  <c r="AE39" i="9"/>
  <c r="AE35" i="9"/>
  <c r="AE31" i="9"/>
  <c r="AE38" i="9"/>
  <c r="AE34" i="9"/>
  <c r="AD25" i="9"/>
  <c r="AE22" i="9"/>
  <c r="AE29" i="9"/>
  <c r="AE21" i="9"/>
  <c r="AE28" i="9"/>
  <c r="AE24" i="9"/>
  <c r="AD27" i="9"/>
  <c r="AE23" i="9"/>
  <c r="AC41" i="5"/>
  <c r="AC34" i="5"/>
  <c r="J42" i="5"/>
  <c r="J44" i="5" s="1"/>
  <c r="AE43" i="5"/>
  <c r="AD25" i="5"/>
  <c r="AE42" i="5"/>
  <c r="AE44" i="5"/>
  <c r="J43" i="5"/>
  <c r="K38" i="5"/>
  <c r="K39" i="5" s="1"/>
  <c r="K33" i="5"/>
  <c r="K34" i="5" s="1"/>
  <c r="AD30" i="5"/>
  <c r="AE38" i="5"/>
  <c r="AE23" i="5"/>
  <c r="AE31" i="5"/>
  <c r="AE22" i="5"/>
  <c r="AE24" i="5"/>
  <c r="AE36" i="5"/>
  <c r="AE32" i="5"/>
  <c r="AE39" i="5"/>
  <c r="AE21" i="5"/>
  <c r="AF35" i="5" s="1"/>
  <c r="AE40" i="5"/>
  <c r="AE37" i="5"/>
  <c r="AE33" i="5"/>
  <c r="G24" i="4" l="1"/>
  <c r="AD37" i="9"/>
  <c r="AF38" i="9"/>
  <c r="AF34" i="9"/>
  <c r="AF33" i="9"/>
  <c r="AF40" i="9"/>
  <c r="AF36" i="9"/>
  <c r="AF32" i="9"/>
  <c r="AF39" i="9"/>
  <c r="AF35" i="9"/>
  <c r="AF31" i="9"/>
  <c r="AE27" i="9"/>
  <c r="AF23" i="9"/>
  <c r="AE25" i="9"/>
  <c r="AF22" i="9"/>
  <c r="AF30" i="9"/>
  <c r="AF29" i="9"/>
  <c r="AF21" i="9"/>
  <c r="AF28" i="9"/>
  <c r="AF24" i="9"/>
  <c r="AD41" i="5"/>
  <c r="AD34" i="5"/>
  <c r="AF44" i="5"/>
  <c r="AF43" i="5"/>
  <c r="AE25" i="5"/>
  <c r="AF42" i="5"/>
  <c r="K40" i="5"/>
  <c r="K41" i="5" s="1"/>
  <c r="K31" i="5"/>
  <c r="K35" i="5" s="1"/>
  <c r="AE30" i="5"/>
  <c r="AF36" i="5"/>
  <c r="AF32" i="5"/>
  <c r="AF22" i="5"/>
  <c r="AF37" i="5"/>
  <c r="AF21" i="5"/>
  <c r="AG35" i="5" s="1"/>
  <c r="AF31" i="5"/>
  <c r="AF40" i="5"/>
  <c r="AF33" i="5"/>
  <c r="AF38" i="5"/>
  <c r="AF24" i="5"/>
  <c r="AF39" i="5"/>
  <c r="AF23" i="5"/>
  <c r="F25" i="4" l="1"/>
  <c r="I15" i="4"/>
  <c r="J10" i="4"/>
  <c r="AG39" i="9"/>
  <c r="AG35" i="9"/>
  <c r="AG31" i="9"/>
  <c r="AG38" i="9"/>
  <c r="AG34" i="9"/>
  <c r="AG33" i="9"/>
  <c r="AG30" i="9"/>
  <c r="AG40" i="9"/>
  <c r="AG36" i="9"/>
  <c r="AG32" i="9"/>
  <c r="AG28" i="9"/>
  <c r="AG24" i="9"/>
  <c r="AF27" i="9"/>
  <c r="AG23" i="9"/>
  <c r="AF25" i="9"/>
  <c r="AG22" i="9"/>
  <c r="AG29" i="9"/>
  <c r="AG21" i="9"/>
  <c r="AE37" i="9"/>
  <c r="AE41" i="5"/>
  <c r="AE34" i="5"/>
  <c r="AG42" i="5"/>
  <c r="AG44" i="5"/>
  <c r="AG43" i="5"/>
  <c r="AF25" i="5"/>
  <c r="L32" i="5"/>
  <c r="K36" i="5"/>
  <c r="K43" i="5" s="1"/>
  <c r="AF30" i="5"/>
  <c r="AG39" i="5"/>
  <c r="AG31" i="5"/>
  <c r="AG22" i="5"/>
  <c r="AG33" i="5"/>
  <c r="AG36" i="5"/>
  <c r="AG32" i="5"/>
  <c r="AG24" i="5"/>
  <c r="AG38" i="5"/>
  <c r="AG40" i="5"/>
  <c r="AG37" i="5"/>
  <c r="AG21" i="5"/>
  <c r="AH35" i="5" s="1"/>
  <c r="AG23" i="5"/>
  <c r="L31" i="5" l="1"/>
  <c r="C12" i="5"/>
  <c r="G25" i="4"/>
  <c r="AF37" i="9"/>
  <c r="AH40" i="9"/>
  <c r="AH36" i="9"/>
  <c r="AH32" i="9"/>
  <c r="AH39" i="9"/>
  <c r="AH35" i="9"/>
  <c r="AH31" i="9"/>
  <c r="AH38" i="9"/>
  <c r="AH34" i="9"/>
  <c r="AH33" i="9"/>
  <c r="AH30" i="9"/>
  <c r="AH29" i="9"/>
  <c r="AH21" i="9"/>
  <c r="AH28" i="9"/>
  <c r="AH24" i="9"/>
  <c r="AG27" i="9"/>
  <c r="AH23" i="9"/>
  <c r="AG25" i="9"/>
  <c r="AH22" i="9"/>
  <c r="AF41" i="5"/>
  <c r="AF34" i="5"/>
  <c r="AG25" i="5"/>
  <c r="AH42" i="5"/>
  <c r="AH44" i="5"/>
  <c r="AH43" i="5"/>
  <c r="L33" i="5"/>
  <c r="L38" i="5"/>
  <c r="L39" i="5" s="1"/>
  <c r="K42" i="5"/>
  <c r="K44" i="5" s="1"/>
  <c r="K37" i="5"/>
  <c r="AG30" i="5"/>
  <c r="AH24" i="5"/>
  <c r="AH39" i="5"/>
  <c r="AH23" i="5"/>
  <c r="AH32" i="5"/>
  <c r="AH31" i="5"/>
  <c r="AH37" i="5"/>
  <c r="AH33" i="5"/>
  <c r="AH36" i="5"/>
  <c r="AH22" i="5"/>
  <c r="AH38" i="5"/>
  <c r="AH40" i="5"/>
  <c r="AH21" i="5"/>
  <c r="AI35" i="5" s="1"/>
  <c r="J11" i="4" l="1"/>
  <c r="K6" i="4"/>
  <c r="I16" i="4"/>
  <c r="F26" i="4"/>
  <c r="AG37" i="9"/>
  <c r="AI33" i="9"/>
  <c r="AI30" i="9"/>
  <c r="AI40" i="9"/>
  <c r="AI36" i="9"/>
  <c r="AI32" i="9"/>
  <c r="AI39" i="9"/>
  <c r="AI35" i="9"/>
  <c r="AI31" i="9"/>
  <c r="AI38" i="9"/>
  <c r="AI34" i="9"/>
  <c r="AH25" i="9"/>
  <c r="AI22" i="9"/>
  <c r="AI29" i="9"/>
  <c r="AI21" i="9"/>
  <c r="AI28" i="9"/>
  <c r="AI24" i="9"/>
  <c r="AH27" i="9"/>
  <c r="AI23" i="9"/>
  <c r="AG41" i="5"/>
  <c r="AG34" i="5"/>
  <c r="L36" i="5"/>
  <c r="L37" i="5" s="1"/>
  <c r="L34" i="5"/>
  <c r="AI43" i="5"/>
  <c r="AH25" i="5"/>
  <c r="AI42" i="5"/>
  <c r="AI44" i="5"/>
  <c r="L40" i="5"/>
  <c r="AH30" i="5"/>
  <c r="AI38" i="5"/>
  <c r="AI21" i="5"/>
  <c r="AJ35" i="5" s="1"/>
  <c r="AI40" i="5"/>
  <c r="AI33" i="5"/>
  <c r="AI31" i="5"/>
  <c r="AI39" i="5"/>
  <c r="AI22" i="5"/>
  <c r="AI36" i="5"/>
  <c r="AI32" i="5"/>
  <c r="AI24" i="5"/>
  <c r="AI23" i="5"/>
  <c r="AI37" i="5"/>
  <c r="G26" i="4" l="1"/>
  <c r="AH37" i="9"/>
  <c r="AJ38" i="9"/>
  <c r="AJ34" i="9"/>
  <c r="AJ33" i="9"/>
  <c r="AJ40" i="9"/>
  <c r="AJ36" i="9"/>
  <c r="AJ32" i="9"/>
  <c r="AJ39" i="9"/>
  <c r="AJ35" i="9"/>
  <c r="AJ31" i="9"/>
  <c r="AI27" i="9"/>
  <c r="AJ23" i="9"/>
  <c r="AI25" i="9"/>
  <c r="AJ22" i="9"/>
  <c r="AJ29" i="9"/>
  <c r="AJ21" i="9"/>
  <c r="AJ30" i="9"/>
  <c r="AJ28" i="9"/>
  <c r="AJ24" i="9"/>
  <c r="AH41" i="5"/>
  <c r="AH34" i="5"/>
  <c r="AJ44" i="5"/>
  <c r="AJ43" i="5"/>
  <c r="AI25" i="5"/>
  <c r="AJ42" i="5"/>
  <c r="L42" i="5"/>
  <c r="L44" i="5" s="1"/>
  <c r="L41" i="5"/>
  <c r="L43" i="5" s="1"/>
  <c r="M31" i="5" s="1"/>
  <c r="M32" i="5"/>
  <c r="AI30" i="5"/>
  <c r="AJ36" i="5"/>
  <c r="AJ32" i="5"/>
  <c r="AJ24" i="5"/>
  <c r="AJ37" i="5"/>
  <c r="AJ21" i="5"/>
  <c r="AK35" i="5" s="1"/>
  <c r="AJ39" i="5"/>
  <c r="AJ22" i="5"/>
  <c r="AJ40" i="5"/>
  <c r="AJ33" i="5"/>
  <c r="AJ38" i="5"/>
  <c r="AJ23" i="5"/>
  <c r="AJ31" i="5"/>
  <c r="F27" i="4" l="1"/>
  <c r="J12" i="4"/>
  <c r="K7" i="4"/>
  <c r="I17" i="4"/>
  <c r="AK39" i="9"/>
  <c r="AK35" i="9"/>
  <c r="AK31" i="9"/>
  <c r="AK38" i="9"/>
  <c r="AK34" i="9"/>
  <c r="AK33" i="9"/>
  <c r="AK30" i="9"/>
  <c r="AK40" i="9"/>
  <c r="AK36" i="9"/>
  <c r="AK32" i="9"/>
  <c r="AK28" i="9"/>
  <c r="AK24" i="9"/>
  <c r="AJ27" i="9"/>
  <c r="AK23" i="9"/>
  <c r="AJ25" i="9"/>
  <c r="AK22" i="9"/>
  <c r="AK29" i="9"/>
  <c r="AK21" i="9"/>
  <c r="AI37" i="9"/>
  <c r="AI41" i="5"/>
  <c r="AI34" i="5"/>
  <c r="AK42" i="5"/>
  <c r="AK44" i="5"/>
  <c r="AK43" i="5"/>
  <c r="AJ25" i="5"/>
  <c r="M33" i="5"/>
  <c r="M38" i="5"/>
  <c r="M39" i="5" s="1"/>
  <c r="AJ30" i="5"/>
  <c r="AK39" i="5"/>
  <c r="AK31" i="5"/>
  <c r="AK24" i="5"/>
  <c r="AK21" i="5"/>
  <c r="AL35" i="5" s="1"/>
  <c r="AK40" i="5"/>
  <c r="AK22" i="5"/>
  <c r="AK33" i="5"/>
  <c r="AK36" i="5"/>
  <c r="AK32" i="5"/>
  <c r="AK37" i="5"/>
  <c r="AK38" i="5"/>
  <c r="AK23" i="5"/>
  <c r="G27" i="4" l="1"/>
  <c r="F28" i="4"/>
  <c r="AJ37" i="9"/>
  <c r="AL40" i="9"/>
  <c r="AL36" i="9"/>
  <c r="AL32" i="9"/>
  <c r="AL39" i="9"/>
  <c r="AL35" i="9"/>
  <c r="AL31" i="9"/>
  <c r="AL38" i="9"/>
  <c r="AL34" i="9"/>
  <c r="AL33" i="9"/>
  <c r="AL30" i="9"/>
  <c r="AL29" i="9"/>
  <c r="AL21" i="9"/>
  <c r="AL28" i="9"/>
  <c r="AL24" i="9"/>
  <c r="AK27" i="9"/>
  <c r="AL23" i="9"/>
  <c r="AK25" i="9"/>
  <c r="AL22" i="9"/>
  <c r="AJ41" i="5"/>
  <c r="AJ34" i="5"/>
  <c r="M36" i="5"/>
  <c r="M37" i="5" s="1"/>
  <c r="M34" i="5"/>
  <c r="AK25" i="5"/>
  <c r="AL42" i="5"/>
  <c r="AL44" i="5"/>
  <c r="AL43" i="5"/>
  <c r="M40" i="5"/>
  <c r="AK30" i="5"/>
  <c r="AL21" i="5"/>
  <c r="AM35" i="5" s="1"/>
  <c r="AL24" i="5"/>
  <c r="AL32" i="5"/>
  <c r="AL39" i="5"/>
  <c r="AL31" i="5"/>
  <c r="AL23" i="5"/>
  <c r="AL37" i="5"/>
  <c r="AL36" i="5"/>
  <c r="AL22" i="5"/>
  <c r="AL33" i="5"/>
  <c r="AL38" i="5"/>
  <c r="AL40" i="5"/>
  <c r="G28" i="4" l="1"/>
  <c r="K9" i="4"/>
  <c r="J13" i="4"/>
  <c r="I19" i="4"/>
  <c r="J14" i="4"/>
  <c r="I18" i="4"/>
  <c r="K8" i="4"/>
  <c r="AK37" i="9"/>
  <c r="AM33" i="9"/>
  <c r="AM30" i="9"/>
  <c r="AM40" i="9"/>
  <c r="AM36" i="9"/>
  <c r="AM32" i="9"/>
  <c r="AM39" i="9"/>
  <c r="AM35" i="9"/>
  <c r="AM31" i="9"/>
  <c r="AM38" i="9"/>
  <c r="AM34" i="9"/>
  <c r="AL25" i="9"/>
  <c r="AM22" i="9"/>
  <c r="AM29" i="9"/>
  <c r="AM21" i="9"/>
  <c r="AM28" i="9"/>
  <c r="AM24" i="9"/>
  <c r="AL27" i="9"/>
  <c r="AM23" i="9"/>
  <c r="AK41" i="5"/>
  <c r="AK34" i="5"/>
  <c r="AM43" i="5"/>
  <c r="AL25" i="5"/>
  <c r="AM42" i="5"/>
  <c r="AM44" i="5"/>
  <c r="M41" i="5"/>
  <c r="M43" i="5" s="1"/>
  <c r="N31" i="5" s="1"/>
  <c r="N32" i="5"/>
  <c r="M42" i="5"/>
  <c r="M44" i="5" s="1"/>
  <c r="AL30" i="5"/>
  <c r="AM38" i="5"/>
  <c r="AM31" i="5"/>
  <c r="AM39" i="5"/>
  <c r="AM22" i="5"/>
  <c r="AM36" i="5"/>
  <c r="AM24" i="5"/>
  <c r="AM21" i="5"/>
  <c r="AN35" i="5" s="1"/>
  <c r="AM40" i="5"/>
  <c r="AM37" i="5"/>
  <c r="AM33" i="5"/>
  <c r="AM23" i="5"/>
  <c r="AM32" i="5"/>
  <c r="F29" i="4" l="1"/>
  <c r="AL37" i="9"/>
  <c r="AN38" i="9"/>
  <c r="AN34" i="9"/>
  <c r="AN33" i="9"/>
  <c r="AN30" i="9"/>
  <c r="AN40" i="9"/>
  <c r="AN36" i="9"/>
  <c r="AN32" i="9"/>
  <c r="AN39" i="9"/>
  <c r="AN35" i="9"/>
  <c r="AN31" i="9"/>
  <c r="AM27" i="9"/>
  <c r="AN23" i="9"/>
  <c r="AM25" i="9"/>
  <c r="AN22" i="9"/>
  <c r="AN29" i="9"/>
  <c r="AN21" i="9"/>
  <c r="AN28" i="9"/>
  <c r="AN24" i="9"/>
  <c r="AL41" i="5"/>
  <c r="AL34" i="5"/>
  <c r="AN44" i="5"/>
  <c r="AN43" i="5"/>
  <c r="AM25" i="5"/>
  <c r="AN42" i="5"/>
  <c r="N38" i="5"/>
  <c r="N39" i="5" s="1"/>
  <c r="N33" i="5"/>
  <c r="AM30" i="5"/>
  <c r="AN36" i="5"/>
  <c r="AN32" i="5"/>
  <c r="AN24" i="5"/>
  <c r="AN40" i="5"/>
  <c r="AN37" i="5"/>
  <c r="AN33" i="5"/>
  <c r="AN21" i="5"/>
  <c r="AO35" i="5" s="1"/>
  <c r="AN38" i="5"/>
  <c r="AN23" i="5"/>
  <c r="AN39" i="5"/>
  <c r="AN31" i="5"/>
  <c r="AN22" i="5"/>
  <c r="G29" i="4" l="1"/>
  <c r="AM37" i="9"/>
  <c r="AO39" i="9"/>
  <c r="AO35" i="9"/>
  <c r="AO31" i="9"/>
  <c r="AO38" i="9"/>
  <c r="AO34" i="9"/>
  <c r="AO33" i="9"/>
  <c r="AO30" i="9"/>
  <c r="AO40" i="9"/>
  <c r="AO36" i="9"/>
  <c r="AO32" i="9"/>
  <c r="AO28" i="9"/>
  <c r="AO24" i="9"/>
  <c r="AN27" i="9"/>
  <c r="AO23" i="9"/>
  <c r="AN25" i="9"/>
  <c r="AO22" i="9"/>
  <c r="AO29" i="9"/>
  <c r="AO21" i="9"/>
  <c r="AM41" i="5"/>
  <c r="AM34" i="5"/>
  <c r="N36" i="5"/>
  <c r="N37" i="5" s="1"/>
  <c r="N34" i="5"/>
  <c r="AO42" i="5"/>
  <c r="AO44" i="5"/>
  <c r="AO43" i="5"/>
  <c r="AN25" i="5"/>
  <c r="N40" i="5"/>
  <c r="AN30" i="5"/>
  <c r="AO39" i="5"/>
  <c r="AO31" i="5"/>
  <c r="AO22" i="5"/>
  <c r="AO38" i="5"/>
  <c r="AO37" i="5"/>
  <c r="AO33" i="5"/>
  <c r="AO36" i="5"/>
  <c r="AO32" i="5"/>
  <c r="AO24" i="5"/>
  <c r="AO40" i="5"/>
  <c r="AO21" i="5"/>
  <c r="AP35" i="5" s="1"/>
  <c r="AO23" i="5"/>
  <c r="K10" i="4" l="1"/>
  <c r="I20" i="4"/>
  <c r="J15" i="4"/>
  <c r="F30" i="4"/>
  <c r="AN37" i="9"/>
  <c r="AP40" i="9"/>
  <c r="AP36" i="9"/>
  <c r="AP32" i="9"/>
  <c r="AP39" i="9"/>
  <c r="AP35" i="9"/>
  <c r="AP31" i="9"/>
  <c r="AP38" i="9"/>
  <c r="AP34" i="9"/>
  <c r="AP33" i="9"/>
  <c r="AP30" i="9"/>
  <c r="AP29" i="9"/>
  <c r="AP21" i="9"/>
  <c r="AP28" i="9"/>
  <c r="AP24" i="9"/>
  <c r="AO27" i="9"/>
  <c r="AP23" i="9"/>
  <c r="AO25" i="9"/>
  <c r="AP22" i="9"/>
  <c r="AN41" i="5"/>
  <c r="AN34" i="5"/>
  <c r="N42" i="5"/>
  <c r="N44" i="5" s="1"/>
  <c r="AO25" i="5"/>
  <c r="AP42" i="5"/>
  <c r="AP44" i="5"/>
  <c r="AP43" i="5"/>
  <c r="O32" i="5"/>
  <c r="N41" i="5"/>
  <c r="N43" i="5" s="1"/>
  <c r="O31" i="5" s="1"/>
  <c r="AO30" i="5"/>
  <c r="AP32" i="5"/>
  <c r="AP39" i="5"/>
  <c r="AP31" i="5"/>
  <c r="AP23" i="5"/>
  <c r="AP37" i="5"/>
  <c r="AP33" i="5"/>
  <c r="AP36" i="5"/>
  <c r="AP38" i="5"/>
  <c r="AP40" i="5"/>
  <c r="AP24" i="5"/>
  <c r="AP22" i="5"/>
  <c r="AP21" i="5"/>
  <c r="AQ35" i="5" s="1"/>
  <c r="G30" i="4" l="1"/>
  <c r="AO37" i="9"/>
  <c r="AQ33" i="9"/>
  <c r="AQ30" i="9"/>
  <c r="AQ40" i="9"/>
  <c r="AQ36" i="9"/>
  <c r="AQ32" i="9"/>
  <c r="AQ39" i="9"/>
  <c r="AQ35" i="9"/>
  <c r="AQ31" i="9"/>
  <c r="AQ38" i="9"/>
  <c r="AQ34" i="9"/>
  <c r="AP25" i="9"/>
  <c r="AQ22" i="9"/>
  <c r="AQ29" i="9"/>
  <c r="AQ21" i="9"/>
  <c r="AQ28" i="9"/>
  <c r="AQ24" i="9"/>
  <c r="AP27" i="9"/>
  <c r="AQ23" i="9"/>
  <c r="AO41" i="5"/>
  <c r="AO34" i="5"/>
  <c r="O38" i="5"/>
  <c r="O39" i="5" s="1"/>
  <c r="O33" i="5"/>
  <c r="AQ43" i="5"/>
  <c r="AP25" i="5"/>
  <c r="AQ42" i="5"/>
  <c r="AQ44" i="5"/>
  <c r="AP30" i="5"/>
  <c r="AQ38" i="5"/>
  <c r="AQ31" i="5"/>
  <c r="AQ39" i="5"/>
  <c r="AQ22" i="5"/>
  <c r="AQ40" i="5"/>
  <c r="AQ23" i="5"/>
  <c r="AQ36" i="5"/>
  <c r="AQ32" i="5"/>
  <c r="AQ24" i="5"/>
  <c r="AQ21" i="5"/>
  <c r="AR35" i="5" s="1"/>
  <c r="AQ33" i="5"/>
  <c r="AQ37" i="5"/>
  <c r="F31" i="4" l="1"/>
  <c r="K11" i="4"/>
  <c r="I21" i="4"/>
  <c r="J16" i="4"/>
  <c r="AP37" i="9"/>
  <c r="AR38" i="9"/>
  <c r="AR34" i="9"/>
  <c r="AR33" i="9"/>
  <c r="AR30" i="9"/>
  <c r="AR40" i="9"/>
  <c r="AR36" i="9"/>
  <c r="AR32" i="9"/>
  <c r="AR39" i="9"/>
  <c r="AR35" i="9"/>
  <c r="AR31" i="9"/>
  <c r="AQ27" i="9"/>
  <c r="AR23" i="9"/>
  <c r="AQ25" i="9"/>
  <c r="AR22" i="9"/>
  <c r="AR29" i="9"/>
  <c r="AR21" i="9"/>
  <c r="AR28" i="9"/>
  <c r="AR24" i="9"/>
  <c r="AP41" i="5"/>
  <c r="AP34" i="5"/>
  <c r="O36" i="5"/>
  <c r="O37" i="5" s="1"/>
  <c r="O34" i="5"/>
  <c r="AR44" i="5"/>
  <c r="AR43" i="5"/>
  <c r="AQ25" i="5"/>
  <c r="AR42" i="5"/>
  <c r="O40" i="5"/>
  <c r="AQ30" i="5"/>
  <c r="AR36" i="5"/>
  <c r="AR32" i="5"/>
  <c r="AR24" i="5"/>
  <c r="AR38" i="5"/>
  <c r="AR23" i="5"/>
  <c r="AR40" i="5"/>
  <c r="AR37" i="5"/>
  <c r="AR33" i="5"/>
  <c r="AR21" i="5"/>
  <c r="AS35" i="5" s="1"/>
  <c r="AR22" i="5"/>
  <c r="AR31" i="5"/>
  <c r="AR39" i="5"/>
  <c r="G31" i="4" l="1"/>
  <c r="F32" i="4" s="1"/>
  <c r="AQ37" i="9"/>
  <c r="AS39" i="9"/>
  <c r="AS35" i="9"/>
  <c r="AS31" i="9"/>
  <c r="AS38" i="9"/>
  <c r="AS34" i="9"/>
  <c r="AS33" i="9"/>
  <c r="AS30" i="9"/>
  <c r="AS40" i="9"/>
  <c r="AS36" i="9"/>
  <c r="AS32" i="9"/>
  <c r="AS28" i="9"/>
  <c r="AS24" i="9"/>
  <c r="AR27" i="9"/>
  <c r="AS23" i="9"/>
  <c r="AR25" i="9"/>
  <c r="AS22" i="9"/>
  <c r="AS29" i="9"/>
  <c r="AS21" i="9"/>
  <c r="AQ41" i="5"/>
  <c r="AQ34" i="5"/>
  <c r="P32" i="5"/>
  <c r="O41" i="5"/>
  <c r="O43" i="5" s="1"/>
  <c r="P31" i="5" s="1"/>
  <c r="O42" i="5"/>
  <c r="O44" i="5" s="1"/>
  <c r="AS42" i="5"/>
  <c r="AS44" i="5"/>
  <c r="AS43" i="5"/>
  <c r="AR25" i="5"/>
  <c r="AR30" i="5"/>
  <c r="AS39" i="5"/>
  <c r="AS31" i="5"/>
  <c r="AS24" i="5"/>
  <c r="AS33" i="5"/>
  <c r="AS32" i="5"/>
  <c r="AS21" i="5"/>
  <c r="AT35" i="5" s="1"/>
  <c r="AS38" i="5"/>
  <c r="AS37" i="5"/>
  <c r="AS22" i="5"/>
  <c r="AS36" i="5"/>
  <c r="AS40" i="5"/>
  <c r="AS23" i="5"/>
  <c r="G32" i="4" l="1"/>
  <c r="K13" i="4" s="1"/>
  <c r="J18" i="4"/>
  <c r="K12" i="4"/>
  <c r="I22" i="4"/>
  <c r="J17" i="4"/>
  <c r="I23" i="4"/>
  <c r="AR37" i="9"/>
  <c r="AT40" i="9"/>
  <c r="AT36" i="9"/>
  <c r="AT32" i="9"/>
  <c r="AT39" i="9"/>
  <c r="AT35" i="9"/>
  <c r="AT31" i="9"/>
  <c r="AT38" i="9"/>
  <c r="AT34" i="9"/>
  <c r="AT33" i="9"/>
  <c r="AT30" i="9"/>
  <c r="AT29" i="9"/>
  <c r="AT21" i="9"/>
  <c r="AT28" i="9"/>
  <c r="AT24" i="9"/>
  <c r="AS27" i="9"/>
  <c r="AT23" i="9"/>
  <c r="AS25" i="9"/>
  <c r="AT22" i="9"/>
  <c r="AR41" i="5"/>
  <c r="AR34" i="5"/>
  <c r="P33" i="5"/>
  <c r="P38" i="5"/>
  <c r="P39" i="5" s="1"/>
  <c r="AS25" i="5"/>
  <c r="AT42" i="5"/>
  <c r="AT44" i="5"/>
  <c r="AT43" i="5"/>
  <c r="AS30" i="5"/>
  <c r="AT21" i="5"/>
  <c r="AU35" i="5" s="1"/>
  <c r="AT32" i="5"/>
  <c r="AT39" i="5"/>
  <c r="AT31" i="5"/>
  <c r="AT23" i="5"/>
  <c r="AT24" i="5"/>
  <c r="AT37" i="5"/>
  <c r="AT33" i="5"/>
  <c r="AT36" i="5"/>
  <c r="AT22" i="5"/>
  <c r="AT38" i="5"/>
  <c r="AT40" i="5"/>
  <c r="F33" i="4" l="1"/>
  <c r="AS37" i="9"/>
  <c r="AU33" i="9"/>
  <c r="AU30" i="9"/>
  <c r="AU40" i="9"/>
  <c r="AU36" i="9"/>
  <c r="AU32" i="9"/>
  <c r="AU39" i="9"/>
  <c r="AU35" i="9"/>
  <c r="AU31" i="9"/>
  <c r="AU38" i="9"/>
  <c r="AU34" i="9"/>
  <c r="AT25" i="9"/>
  <c r="AU22" i="9"/>
  <c r="AU29" i="9"/>
  <c r="AU21" i="9"/>
  <c r="AU28" i="9"/>
  <c r="AU24" i="9"/>
  <c r="AT27" i="9"/>
  <c r="AU23" i="9"/>
  <c r="AS41" i="5"/>
  <c r="AS34" i="5"/>
  <c r="P36" i="5"/>
  <c r="P37" i="5" s="1"/>
  <c r="P34" i="5"/>
  <c r="AU43" i="5"/>
  <c r="AT25" i="5"/>
  <c r="AU42" i="5"/>
  <c r="AU44" i="5"/>
  <c r="P40" i="5"/>
  <c r="AT30" i="5"/>
  <c r="AU38" i="5"/>
  <c r="AU31" i="5"/>
  <c r="AU39" i="5"/>
  <c r="AU22" i="5"/>
  <c r="AU36" i="5"/>
  <c r="AU32" i="5"/>
  <c r="AU24" i="5"/>
  <c r="AU21" i="5"/>
  <c r="AV35" i="5" s="1"/>
  <c r="AU23" i="5"/>
  <c r="AU40" i="5"/>
  <c r="AU33" i="5"/>
  <c r="AU37" i="5"/>
  <c r="G33" i="4" l="1"/>
  <c r="AT37" i="9"/>
  <c r="AV38" i="9"/>
  <c r="AV34" i="9"/>
  <c r="AV33" i="9"/>
  <c r="AV30" i="9"/>
  <c r="AV40" i="9"/>
  <c r="AV36" i="9"/>
  <c r="AV32" i="9"/>
  <c r="AV39" i="9"/>
  <c r="AV35" i="9"/>
  <c r="AV31" i="9"/>
  <c r="AU27" i="9"/>
  <c r="AV23" i="9"/>
  <c r="AU25" i="9"/>
  <c r="AV22" i="9"/>
  <c r="AV29" i="9"/>
  <c r="AV21" i="9"/>
  <c r="AV28" i="9"/>
  <c r="AV24" i="9"/>
  <c r="AT41" i="5"/>
  <c r="AT34" i="5"/>
  <c r="AV44" i="5"/>
  <c r="AV43" i="5"/>
  <c r="AU25" i="5"/>
  <c r="AV42" i="5"/>
  <c r="P42" i="5"/>
  <c r="P44" i="5" s="1"/>
  <c r="Q32" i="5"/>
  <c r="P41" i="5"/>
  <c r="P43" i="5" s="1"/>
  <c r="Q31" i="5" s="1"/>
  <c r="AU30" i="5"/>
  <c r="AV36" i="5"/>
  <c r="AV32" i="5"/>
  <c r="AV24" i="5"/>
  <c r="AV40" i="5"/>
  <c r="AV37" i="5"/>
  <c r="AV33" i="5"/>
  <c r="AV21" i="5"/>
  <c r="AW35" i="5" s="1"/>
  <c r="AV38" i="5"/>
  <c r="AV23" i="5"/>
  <c r="AV31" i="5"/>
  <c r="AV39" i="5"/>
  <c r="AV22" i="5"/>
  <c r="I24" i="4" l="1"/>
  <c r="K14" i="4"/>
  <c r="J19" i="4"/>
  <c r="F34" i="4"/>
  <c r="AU37" i="9"/>
  <c r="AW39" i="9"/>
  <c r="AW35" i="9"/>
  <c r="AW31" i="9"/>
  <c r="AW38" i="9"/>
  <c r="AW34" i="9"/>
  <c r="AW33" i="9"/>
  <c r="AW30" i="9"/>
  <c r="AW40" i="9"/>
  <c r="AW36" i="9"/>
  <c r="AW32" i="9"/>
  <c r="AW28" i="9"/>
  <c r="AW24" i="9"/>
  <c r="AV27" i="9"/>
  <c r="AW23" i="9"/>
  <c r="AV25" i="9"/>
  <c r="AW22" i="9"/>
  <c r="AW29" i="9"/>
  <c r="AW21" i="9"/>
  <c r="AU41" i="5"/>
  <c r="AU34" i="5"/>
  <c r="Q33" i="5"/>
  <c r="Q38" i="5"/>
  <c r="Q39" i="5" s="1"/>
  <c r="AW42" i="5"/>
  <c r="AW44" i="5"/>
  <c r="AW43" i="5"/>
  <c r="AV25" i="5"/>
  <c r="AV30" i="5"/>
  <c r="AW39" i="5"/>
  <c r="AW31" i="5"/>
  <c r="AW22" i="5"/>
  <c r="AW33" i="5"/>
  <c r="AW36" i="5"/>
  <c r="AW32" i="5"/>
  <c r="AW21" i="5"/>
  <c r="AX35" i="5" s="1"/>
  <c r="AW38" i="5"/>
  <c r="AW40" i="5"/>
  <c r="AW37" i="5"/>
  <c r="AW24" i="5"/>
  <c r="AW23" i="5"/>
  <c r="G34" i="4" l="1"/>
  <c r="AV37" i="9"/>
  <c r="AX40" i="9"/>
  <c r="AX36" i="9"/>
  <c r="AX32" i="9"/>
  <c r="AX39" i="9"/>
  <c r="AX35" i="9"/>
  <c r="AX31" i="9"/>
  <c r="AX38" i="9"/>
  <c r="AX34" i="9"/>
  <c r="AX33" i="9"/>
  <c r="AX30" i="9"/>
  <c r="AX29" i="9"/>
  <c r="AX21" i="9"/>
  <c r="AX28" i="9"/>
  <c r="AX24" i="9"/>
  <c r="AW27" i="9"/>
  <c r="AX23" i="9"/>
  <c r="AW25" i="9"/>
  <c r="AX22" i="9"/>
  <c r="AV41" i="5"/>
  <c r="AV34" i="5"/>
  <c r="Q36" i="5"/>
  <c r="Q37" i="5" s="1"/>
  <c r="Q34" i="5"/>
  <c r="AW25" i="5"/>
  <c r="AX42" i="5"/>
  <c r="AX44" i="5"/>
  <c r="AX43" i="5"/>
  <c r="Q40" i="5"/>
  <c r="AW30" i="5"/>
  <c r="AX24" i="5"/>
  <c r="AX32" i="5"/>
  <c r="AX39" i="5"/>
  <c r="AX31" i="5"/>
  <c r="AX23" i="5"/>
  <c r="AX21" i="5"/>
  <c r="AY35" i="5" s="1"/>
  <c r="AX37" i="5"/>
  <c r="AX33" i="5"/>
  <c r="AX36" i="5"/>
  <c r="AX22" i="5"/>
  <c r="AX40" i="5"/>
  <c r="AX38" i="5"/>
  <c r="F35" i="4" l="1"/>
  <c r="I25" i="4"/>
  <c r="K15" i="4"/>
  <c r="J20" i="4"/>
  <c r="AW37" i="9"/>
  <c r="AY33" i="9"/>
  <c r="AY30" i="9"/>
  <c r="AY40" i="9"/>
  <c r="AY36" i="9"/>
  <c r="AY32" i="9"/>
  <c r="AY39" i="9"/>
  <c r="AY35" i="9"/>
  <c r="AY31" i="9"/>
  <c r="AY38" i="9"/>
  <c r="AY34" i="9"/>
  <c r="AX25" i="9"/>
  <c r="AY22" i="9"/>
  <c r="AY29" i="9"/>
  <c r="AY21" i="9"/>
  <c r="AY28" i="9"/>
  <c r="AY24" i="9"/>
  <c r="AX27" i="9"/>
  <c r="AY23" i="9"/>
  <c r="AW41" i="5"/>
  <c r="AW34" i="5"/>
  <c r="AY43" i="5"/>
  <c r="AX25" i="5"/>
  <c r="AY42" i="5"/>
  <c r="AY44" i="5"/>
  <c r="R32" i="5"/>
  <c r="Q41" i="5"/>
  <c r="Q43" i="5" s="1"/>
  <c r="R31" i="5" s="1"/>
  <c r="Q42" i="5"/>
  <c r="Q44" i="5" s="1"/>
  <c r="AX30" i="5"/>
  <c r="AY38" i="5"/>
  <c r="AY31" i="5"/>
  <c r="AY39" i="5"/>
  <c r="AY22" i="5"/>
  <c r="AY36" i="5"/>
  <c r="AY32" i="5"/>
  <c r="AY24" i="5"/>
  <c r="AY21" i="5"/>
  <c r="AZ35" i="5" s="1"/>
  <c r="AY40" i="5"/>
  <c r="AY37" i="5"/>
  <c r="AY33" i="5"/>
  <c r="AY23" i="5"/>
  <c r="G35" i="4" l="1"/>
  <c r="AX37" i="9"/>
  <c r="AZ38" i="9"/>
  <c r="AZ34" i="9"/>
  <c r="AZ33" i="9"/>
  <c r="AZ30" i="9"/>
  <c r="AZ40" i="9"/>
  <c r="AZ36" i="9"/>
  <c r="AZ32" i="9"/>
  <c r="AZ39" i="9"/>
  <c r="AZ35" i="9"/>
  <c r="AZ31" i="9"/>
  <c r="AY27" i="9"/>
  <c r="AZ23" i="9"/>
  <c r="AY25" i="9"/>
  <c r="AZ22" i="9"/>
  <c r="AZ29" i="9"/>
  <c r="AZ21" i="9"/>
  <c r="AZ28" i="9"/>
  <c r="AZ24" i="9"/>
  <c r="AX41" i="5"/>
  <c r="AX34" i="5"/>
  <c r="R38" i="5"/>
  <c r="R39" i="5" s="1"/>
  <c r="R33" i="5"/>
  <c r="AZ44" i="5"/>
  <c r="AZ43" i="5"/>
  <c r="AY25" i="5"/>
  <c r="AZ42" i="5"/>
  <c r="AY30" i="5"/>
  <c r="AZ36" i="5"/>
  <c r="AZ32" i="5"/>
  <c r="AZ24" i="5"/>
  <c r="AZ40" i="5"/>
  <c r="AZ37" i="5"/>
  <c r="AZ33" i="5"/>
  <c r="AZ22" i="5"/>
  <c r="AZ21" i="5"/>
  <c r="BA35" i="5" s="1"/>
  <c r="AZ38" i="5"/>
  <c r="AZ23" i="5"/>
  <c r="AZ31" i="5"/>
  <c r="AZ39" i="5"/>
  <c r="F36" i="4" l="1"/>
  <c r="I26" i="4"/>
  <c r="J21" i="4"/>
  <c r="K16" i="4"/>
  <c r="AY37" i="9"/>
  <c r="BA39" i="9"/>
  <c r="BA35" i="9"/>
  <c r="BA31" i="9"/>
  <c r="BA38" i="9"/>
  <c r="BA34" i="9"/>
  <c r="BA33" i="9"/>
  <c r="BA30" i="9"/>
  <c r="BA40" i="9"/>
  <c r="BA36" i="9"/>
  <c r="BA32" i="9"/>
  <c r="BA28" i="9"/>
  <c r="BA24" i="9"/>
  <c r="AZ27" i="9"/>
  <c r="BA23" i="9"/>
  <c r="AZ25" i="9"/>
  <c r="BA22" i="9"/>
  <c r="BA29" i="9"/>
  <c r="BA21" i="9"/>
  <c r="AY41" i="5"/>
  <c r="AY34" i="5"/>
  <c r="R36" i="5"/>
  <c r="R42" i="5" s="1"/>
  <c r="R44" i="5" s="1"/>
  <c r="R34" i="5"/>
  <c r="BA42" i="5"/>
  <c r="BA44" i="5"/>
  <c r="BA43" i="5"/>
  <c r="AZ25" i="5"/>
  <c r="R40" i="5"/>
  <c r="AZ30" i="5"/>
  <c r="BA31" i="5"/>
  <c r="BA33" i="5"/>
  <c r="BA36" i="5"/>
  <c r="BA32" i="5"/>
  <c r="BA21" i="5"/>
  <c r="BB35" i="5" s="1"/>
  <c r="BA38" i="5"/>
  <c r="BA40" i="5"/>
  <c r="BA37" i="5"/>
  <c r="BA23" i="5"/>
  <c r="BA22" i="5"/>
  <c r="BA39" i="5"/>
  <c r="BA24" i="5"/>
  <c r="G36" i="4" l="1"/>
  <c r="AZ37" i="9"/>
  <c r="BB40" i="9"/>
  <c r="BB36" i="9"/>
  <c r="BB32" i="9"/>
  <c r="BB39" i="9"/>
  <c r="BB35" i="9"/>
  <c r="BB31" i="9"/>
  <c r="BB38" i="9"/>
  <c r="BB34" i="9"/>
  <c r="BB33" i="9"/>
  <c r="BB30" i="9"/>
  <c r="BB29" i="9"/>
  <c r="BB21" i="9"/>
  <c r="BB28" i="9"/>
  <c r="BB24" i="9"/>
  <c r="BA27" i="9"/>
  <c r="BB23" i="9"/>
  <c r="BA25" i="9"/>
  <c r="BB22" i="9"/>
  <c r="AZ41" i="5"/>
  <c r="AZ34" i="5"/>
  <c r="S32" i="5"/>
  <c r="R41" i="5"/>
  <c r="R43" i="5" s="1"/>
  <c r="S31" i="5" s="1"/>
  <c r="BA25" i="5"/>
  <c r="BB42" i="5"/>
  <c r="BB44" i="5"/>
  <c r="BB43" i="5"/>
  <c r="R37" i="5"/>
  <c r="BA30" i="5"/>
  <c r="BB21" i="5"/>
  <c r="BC35" i="5" s="1"/>
  <c r="BB31" i="5"/>
  <c r="BB32" i="5"/>
  <c r="BB39" i="5"/>
  <c r="BB23" i="5"/>
  <c r="BB37" i="5"/>
  <c r="BB36" i="5"/>
  <c r="BB22" i="5"/>
  <c r="BB38" i="5"/>
  <c r="BB40" i="5"/>
  <c r="BB24" i="5"/>
  <c r="BB33" i="5"/>
  <c r="F37" i="4" l="1"/>
  <c r="K17" i="4"/>
  <c r="J22" i="4"/>
  <c r="I27" i="4"/>
  <c r="BA37" i="9"/>
  <c r="BC33" i="9"/>
  <c r="BC30" i="9"/>
  <c r="BC40" i="9"/>
  <c r="BC36" i="9"/>
  <c r="BC32" i="9"/>
  <c r="BC39" i="9"/>
  <c r="BC35" i="9"/>
  <c r="BC31" i="9"/>
  <c r="BC38" i="9"/>
  <c r="BC34" i="9"/>
  <c r="BB25" i="9"/>
  <c r="BC22" i="9"/>
  <c r="BC29" i="9"/>
  <c r="BC21" i="9"/>
  <c r="BC28" i="9"/>
  <c r="BC24" i="9"/>
  <c r="BB27" i="9"/>
  <c r="BC23" i="9"/>
  <c r="BA41" i="5"/>
  <c r="BA34" i="5"/>
  <c r="S38" i="5"/>
  <c r="S39" i="5" s="1"/>
  <c r="S33" i="5"/>
  <c r="BC43" i="5"/>
  <c r="BB25" i="5"/>
  <c r="BC42" i="5"/>
  <c r="BC44" i="5"/>
  <c r="BB30" i="5"/>
  <c r="BC38" i="5"/>
  <c r="BC31" i="5"/>
  <c r="BC39" i="5"/>
  <c r="BC22" i="5"/>
  <c r="BC36" i="5"/>
  <c r="BC32" i="5"/>
  <c r="BC24" i="5"/>
  <c r="BC21" i="5"/>
  <c r="BD35" i="5" s="1"/>
  <c r="BC40" i="5"/>
  <c r="BC37" i="5"/>
  <c r="BC33" i="5"/>
  <c r="BC23" i="5"/>
  <c r="G37" i="4" l="1"/>
  <c r="F38" i="4"/>
  <c r="BB37" i="9"/>
  <c r="BD38" i="9"/>
  <c r="BD34" i="9"/>
  <c r="BD33" i="9"/>
  <c r="BD30" i="9"/>
  <c r="BD40" i="9"/>
  <c r="BD36" i="9"/>
  <c r="BD32" i="9"/>
  <c r="BD39" i="9"/>
  <c r="BD35" i="9"/>
  <c r="BD31" i="9"/>
  <c r="BC27" i="9"/>
  <c r="BD23" i="9"/>
  <c r="BC25" i="9"/>
  <c r="BD22" i="9"/>
  <c r="BD29" i="9"/>
  <c r="BD21" i="9"/>
  <c r="BD28" i="9"/>
  <c r="BD24" i="9"/>
  <c r="BB41" i="5"/>
  <c r="BB34" i="5"/>
  <c r="S36" i="5"/>
  <c r="S37" i="5" s="1"/>
  <c r="S34" i="5"/>
  <c r="BD44" i="5"/>
  <c r="BD43" i="5"/>
  <c r="BC25" i="5"/>
  <c r="BD42" i="5"/>
  <c r="S40" i="5"/>
  <c r="BC30" i="5"/>
  <c r="BD36" i="5"/>
  <c r="BD32" i="5"/>
  <c r="BD24" i="5"/>
  <c r="BD40" i="5"/>
  <c r="BD37" i="5"/>
  <c r="BD33" i="5"/>
  <c r="BD21" i="5"/>
  <c r="BE35" i="5" s="1"/>
  <c r="BD23" i="5"/>
  <c r="BD39" i="5"/>
  <c r="BD22" i="5"/>
  <c r="BD38" i="5"/>
  <c r="BD31" i="5"/>
  <c r="G38" i="4" l="1"/>
  <c r="I28" i="4"/>
  <c r="K18" i="4"/>
  <c r="J23" i="4"/>
  <c r="J24" i="4"/>
  <c r="K19" i="4"/>
  <c r="I29" i="4"/>
  <c r="BC37" i="9"/>
  <c r="BE39" i="9"/>
  <c r="BE35" i="9"/>
  <c r="BE31" i="9"/>
  <c r="BE38" i="9"/>
  <c r="BE34" i="9"/>
  <c r="BE33" i="9"/>
  <c r="BE30" i="9"/>
  <c r="BE40" i="9"/>
  <c r="BE36" i="9"/>
  <c r="BE32" i="9"/>
  <c r="BE28" i="9"/>
  <c r="BE24" i="9"/>
  <c r="BD27" i="9"/>
  <c r="BE23" i="9"/>
  <c r="BD25" i="9"/>
  <c r="BE22" i="9"/>
  <c r="BE29" i="9"/>
  <c r="BE21" i="9"/>
  <c r="BC41" i="5"/>
  <c r="BC34" i="5"/>
  <c r="T32" i="5"/>
  <c r="S41" i="5"/>
  <c r="S43" i="5" s="1"/>
  <c r="T31" i="5" s="1"/>
  <c r="S42" i="5"/>
  <c r="S44" i="5" s="1"/>
  <c r="BE42" i="5"/>
  <c r="BE44" i="5"/>
  <c r="BE43" i="5"/>
  <c r="BD25" i="5"/>
  <c r="BD30" i="5"/>
  <c r="BE39" i="5"/>
  <c r="BE31" i="5"/>
  <c r="BE22" i="5"/>
  <c r="BE33" i="5"/>
  <c r="BE36" i="5"/>
  <c r="BE32" i="5"/>
  <c r="BE21" i="5"/>
  <c r="BF35" i="5" s="1"/>
  <c r="BE38" i="5"/>
  <c r="BE40" i="5"/>
  <c r="BE37" i="5"/>
  <c r="BE24" i="5"/>
  <c r="BE23" i="5"/>
  <c r="F39" i="4" l="1"/>
  <c r="BD37" i="9"/>
  <c r="BF40" i="9"/>
  <c r="BF36" i="9"/>
  <c r="BF32" i="9"/>
  <c r="BF39" i="9"/>
  <c r="BF35" i="9"/>
  <c r="BF31" i="9"/>
  <c r="BF38" i="9"/>
  <c r="BF34" i="9"/>
  <c r="BF33" i="9"/>
  <c r="BF30" i="9"/>
  <c r="BF29" i="9"/>
  <c r="BF21" i="9"/>
  <c r="BF28" i="9"/>
  <c r="BF24" i="9"/>
  <c r="BE27" i="9"/>
  <c r="BF23" i="9"/>
  <c r="BE25" i="9"/>
  <c r="BF22" i="9"/>
  <c r="BD41" i="5"/>
  <c r="BD34" i="5"/>
  <c r="T33" i="5"/>
  <c r="T38" i="5"/>
  <c r="T39" i="5" s="1"/>
  <c r="BE25" i="5"/>
  <c r="BF42" i="5"/>
  <c r="BF44" i="5"/>
  <c r="BF43" i="5"/>
  <c r="BE30" i="5"/>
  <c r="BF24" i="5"/>
  <c r="BF32" i="5"/>
  <c r="BF39" i="5"/>
  <c r="BF31" i="5"/>
  <c r="BF23" i="5"/>
  <c r="BF37" i="5"/>
  <c r="BF33" i="5"/>
  <c r="BF36" i="5"/>
  <c r="BF22" i="5"/>
  <c r="BF38" i="5"/>
  <c r="BF40" i="5"/>
  <c r="BF21" i="5"/>
  <c r="BG35" i="5" s="1"/>
  <c r="G39" i="4" l="1"/>
  <c r="BE37" i="9"/>
  <c r="BG33" i="9"/>
  <c r="BG30" i="9"/>
  <c r="BG40" i="9"/>
  <c r="BG36" i="9"/>
  <c r="BG32" i="9"/>
  <c r="BG39" i="9"/>
  <c r="BG35" i="9"/>
  <c r="BG31" i="9"/>
  <c r="BG38" i="9"/>
  <c r="BG34" i="9"/>
  <c r="BF25" i="9"/>
  <c r="BG22" i="9"/>
  <c r="BG29" i="9"/>
  <c r="BG21" i="9"/>
  <c r="BG28" i="9"/>
  <c r="BG24" i="9"/>
  <c r="BF27" i="9"/>
  <c r="BG23" i="9"/>
  <c r="BE41" i="5"/>
  <c r="BE34" i="5"/>
  <c r="T36" i="5"/>
  <c r="T37" i="5" s="1"/>
  <c r="T34" i="5"/>
  <c r="BG43" i="5"/>
  <c r="BF25" i="5"/>
  <c r="BG42" i="5"/>
  <c r="BG44" i="5"/>
  <c r="T40" i="5"/>
  <c r="BF30" i="5"/>
  <c r="BG31" i="5"/>
  <c r="BG39" i="5"/>
  <c r="BG22" i="5"/>
  <c r="BG36" i="5"/>
  <c r="BG32" i="5"/>
  <c r="BG24" i="5"/>
  <c r="BG21" i="5"/>
  <c r="BH35" i="5" s="1"/>
  <c r="BG40" i="5"/>
  <c r="BG37" i="5"/>
  <c r="BG33" i="5"/>
  <c r="BG23" i="5"/>
  <c r="BG38" i="5"/>
  <c r="I30" i="4" l="1"/>
  <c r="K20" i="4"/>
  <c r="J25" i="4"/>
  <c r="F40" i="4"/>
  <c r="BF37" i="9"/>
  <c r="BH38" i="9"/>
  <c r="BH34" i="9"/>
  <c r="BH33" i="9"/>
  <c r="BH30" i="9"/>
  <c r="BH40" i="9"/>
  <c r="BH36" i="9"/>
  <c r="BH32" i="9"/>
  <c r="BH39" i="9"/>
  <c r="BH35" i="9"/>
  <c r="BH31" i="9"/>
  <c r="BG27" i="9"/>
  <c r="BH23" i="9"/>
  <c r="BG25" i="9"/>
  <c r="BH22" i="9"/>
  <c r="BH29" i="9"/>
  <c r="BH21" i="9"/>
  <c r="BH28" i="9"/>
  <c r="BH24" i="9"/>
  <c r="BF41" i="5"/>
  <c r="BF34" i="5"/>
  <c r="U32" i="5"/>
  <c r="T41" i="5"/>
  <c r="T43" i="5" s="1"/>
  <c r="U31" i="5" s="1"/>
  <c r="T42" i="5"/>
  <c r="T44" i="5" s="1"/>
  <c r="BH44" i="5"/>
  <c r="BH43" i="5"/>
  <c r="BG25" i="5"/>
  <c r="BH42" i="5"/>
  <c r="BG30" i="5"/>
  <c r="BH36" i="5"/>
  <c r="BH32" i="5"/>
  <c r="BH24" i="5"/>
  <c r="BH40" i="5"/>
  <c r="BH37" i="5"/>
  <c r="BH33" i="5"/>
  <c r="BH21" i="5"/>
  <c r="BI35" i="5" s="1"/>
  <c r="BH38" i="5"/>
  <c r="BH23" i="5"/>
  <c r="BH39" i="5"/>
  <c r="BH22" i="5"/>
  <c r="BH31" i="5"/>
  <c r="G40" i="4" l="1"/>
  <c r="BG37" i="9"/>
  <c r="BI39" i="9"/>
  <c r="BI35" i="9"/>
  <c r="BI31" i="9"/>
  <c r="BI38" i="9"/>
  <c r="BI34" i="9"/>
  <c r="BI33" i="9"/>
  <c r="BI30" i="9"/>
  <c r="BI40" i="9"/>
  <c r="BI36" i="9"/>
  <c r="BI32" i="9"/>
  <c r="BI28" i="9"/>
  <c r="BI24" i="9"/>
  <c r="BH27" i="9"/>
  <c r="BI23" i="9"/>
  <c r="BH25" i="9"/>
  <c r="BI22" i="9"/>
  <c r="BI29" i="9"/>
  <c r="BI21" i="9"/>
  <c r="BG41" i="5"/>
  <c r="BG34" i="5"/>
  <c r="U38" i="5"/>
  <c r="U39" i="5" s="1"/>
  <c r="U33" i="5"/>
  <c r="BI42" i="5"/>
  <c r="BI44" i="5"/>
  <c r="BI43" i="5"/>
  <c r="BH25" i="5"/>
  <c r="BH30" i="5"/>
  <c r="BI39" i="5"/>
  <c r="BI31" i="5"/>
  <c r="BI24" i="5"/>
  <c r="BI33" i="5"/>
  <c r="BI36" i="5"/>
  <c r="BI32" i="5"/>
  <c r="BI21" i="5"/>
  <c r="BJ35" i="5" s="1"/>
  <c r="BI22" i="5"/>
  <c r="BI38" i="5"/>
  <c r="BI40" i="5"/>
  <c r="BI37" i="5"/>
  <c r="BI23" i="5"/>
  <c r="F41" i="4" l="1"/>
  <c r="I31" i="4"/>
  <c r="K21" i="4"/>
  <c r="J26" i="4"/>
  <c r="BH37" i="9"/>
  <c r="BJ40" i="9"/>
  <c r="BJ36" i="9"/>
  <c r="BJ32" i="9"/>
  <c r="BJ29" i="9"/>
  <c r="BJ39" i="9"/>
  <c r="BJ35" i="9"/>
  <c r="BJ31" i="9"/>
  <c r="BJ38" i="9"/>
  <c r="BJ34" i="9"/>
  <c r="BJ33" i="9"/>
  <c r="BJ30" i="9"/>
  <c r="BJ21" i="9"/>
  <c r="BJ28" i="9"/>
  <c r="BJ24" i="9"/>
  <c r="BI27" i="9"/>
  <c r="BJ23" i="9"/>
  <c r="BI25" i="9"/>
  <c r="BJ22" i="9"/>
  <c r="BH41" i="5"/>
  <c r="BH34" i="5"/>
  <c r="U36" i="5"/>
  <c r="U42" i="5" s="1"/>
  <c r="U44" i="5" s="1"/>
  <c r="U34" i="5"/>
  <c r="U40" i="5"/>
  <c r="U41" i="5" s="1"/>
  <c r="BI25" i="5"/>
  <c r="BJ42" i="5"/>
  <c r="BJ44" i="5"/>
  <c r="BJ43" i="5"/>
  <c r="BI30" i="5"/>
  <c r="BJ21" i="5"/>
  <c r="BK35" i="5" s="1"/>
  <c r="BJ40" i="5"/>
  <c r="BJ32" i="5"/>
  <c r="BJ39" i="5"/>
  <c r="BJ31" i="5"/>
  <c r="BJ23" i="5"/>
  <c r="BJ37" i="5"/>
  <c r="BJ33" i="5"/>
  <c r="BJ36" i="5"/>
  <c r="BJ22" i="5"/>
  <c r="BJ38" i="5"/>
  <c r="BJ24" i="5"/>
  <c r="G41" i="4" l="1"/>
  <c r="BI37" i="9"/>
  <c r="BK33" i="9"/>
  <c r="BK30" i="9"/>
  <c r="BK40" i="9"/>
  <c r="BK36" i="9"/>
  <c r="BK32" i="9"/>
  <c r="BK39" i="9"/>
  <c r="BK35" i="9"/>
  <c r="BK31" i="9"/>
  <c r="BK38" i="9"/>
  <c r="BK34" i="9"/>
  <c r="BK29" i="9"/>
  <c r="BJ25" i="9"/>
  <c r="BK22" i="9"/>
  <c r="BK21" i="9"/>
  <c r="BK28" i="9"/>
  <c r="BK24" i="9"/>
  <c r="BJ27" i="9"/>
  <c r="BK23" i="9"/>
  <c r="BI41" i="5"/>
  <c r="BI34" i="5"/>
  <c r="U43" i="5"/>
  <c r="C14" i="5" s="1"/>
  <c r="U37" i="5"/>
  <c r="BK43" i="5"/>
  <c r="BJ25" i="5"/>
  <c r="BK42" i="5"/>
  <c r="BK44" i="5"/>
  <c r="BJ30" i="5"/>
  <c r="BK38" i="5"/>
  <c r="BK31" i="5"/>
  <c r="BK39" i="5"/>
  <c r="BK22" i="5"/>
  <c r="BK36" i="5"/>
  <c r="BK32" i="5"/>
  <c r="BK24" i="5"/>
  <c r="BK21" i="5"/>
  <c r="BL35" i="5" s="1"/>
  <c r="BK40" i="5"/>
  <c r="BK37" i="5"/>
  <c r="BK33" i="5"/>
  <c r="BK23" i="5"/>
  <c r="K22" i="4" l="1"/>
  <c r="I32" i="4"/>
  <c r="J27" i="4"/>
  <c r="F42" i="4"/>
  <c r="BJ37" i="9"/>
  <c r="BL38" i="9"/>
  <c r="BL34" i="9"/>
  <c r="BL33" i="9"/>
  <c r="BL30" i="9"/>
  <c r="BL40" i="9"/>
  <c r="BL36" i="9"/>
  <c r="BL32" i="9"/>
  <c r="BL39" i="9"/>
  <c r="BL35" i="9"/>
  <c r="BL31" i="9"/>
  <c r="BK27" i="9"/>
  <c r="BL23" i="9"/>
  <c r="BL29" i="9"/>
  <c r="BK25" i="9"/>
  <c r="BL22" i="9"/>
  <c r="BL21" i="9"/>
  <c r="BL28" i="9"/>
  <c r="BL24" i="9"/>
  <c r="BJ41" i="5"/>
  <c r="BJ34" i="5"/>
  <c r="BL44" i="5"/>
  <c r="BL43" i="5"/>
  <c r="BK25" i="5"/>
  <c r="BL42" i="5"/>
  <c r="BK30" i="5"/>
  <c r="BL36" i="5"/>
  <c r="BL32" i="5"/>
  <c r="BL24" i="5"/>
  <c r="BL40" i="5"/>
  <c r="BL37" i="5"/>
  <c r="BL33" i="5"/>
  <c r="BL21" i="5"/>
  <c r="BM35" i="5" s="1"/>
  <c r="BL38" i="5"/>
  <c r="BL23" i="5"/>
  <c r="BL39" i="5"/>
  <c r="BL31" i="5"/>
  <c r="BL22" i="5"/>
  <c r="G42" i="4" l="1"/>
  <c r="BM39" i="9"/>
  <c r="BM35" i="9"/>
  <c r="BM31" i="9"/>
  <c r="BM38" i="9"/>
  <c r="BM34" i="9"/>
  <c r="BM33" i="9"/>
  <c r="BM30" i="9"/>
  <c r="BM40" i="9"/>
  <c r="BM36" i="9"/>
  <c r="BM32" i="9"/>
  <c r="BM28" i="9"/>
  <c r="BM24" i="9"/>
  <c r="BL27" i="9"/>
  <c r="BM23" i="9"/>
  <c r="BM29" i="9"/>
  <c r="BL25" i="9"/>
  <c r="BM22" i="9"/>
  <c r="BM21" i="9"/>
  <c r="BK37" i="9"/>
  <c r="BK41" i="5"/>
  <c r="BK34" i="5"/>
  <c r="BM42" i="5"/>
  <c r="BM44" i="5"/>
  <c r="BM43" i="5"/>
  <c r="BL25" i="5"/>
  <c r="BL30" i="5"/>
  <c r="BM39" i="5"/>
  <c r="BM31" i="5"/>
  <c r="BM22" i="5"/>
  <c r="BM33" i="5"/>
  <c r="BM36" i="5"/>
  <c r="BM32" i="5"/>
  <c r="BM21" i="5"/>
  <c r="BN35" i="5" s="1"/>
  <c r="BM37" i="5"/>
  <c r="BM40" i="5"/>
  <c r="BM24" i="5"/>
  <c r="BM23" i="5"/>
  <c r="BM38" i="5"/>
  <c r="F43" i="4" l="1"/>
  <c r="K23" i="4"/>
  <c r="J28" i="4"/>
  <c r="I33" i="4"/>
  <c r="BL37" i="9"/>
  <c r="BN40" i="9"/>
  <c r="BN36" i="9"/>
  <c r="BN32" i="9"/>
  <c r="BN29" i="9"/>
  <c r="BN39" i="9"/>
  <c r="BN35" i="9"/>
  <c r="BN31" i="9"/>
  <c r="BN38" i="9"/>
  <c r="BN34" i="9"/>
  <c r="BN33" i="9"/>
  <c r="BN30" i="9"/>
  <c r="BN21" i="9"/>
  <c r="BN28" i="9"/>
  <c r="BN24" i="9"/>
  <c r="BM27" i="9"/>
  <c r="BN23" i="9"/>
  <c r="BM25" i="9"/>
  <c r="BN22" i="9"/>
  <c r="BL41" i="5"/>
  <c r="BL34" i="5"/>
  <c r="BM25" i="5"/>
  <c r="BN42" i="5"/>
  <c r="BN44" i="5"/>
  <c r="BN43" i="5"/>
  <c r="BM30" i="5"/>
  <c r="BN24" i="5"/>
  <c r="BN32" i="5"/>
  <c r="BN39" i="5"/>
  <c r="BN31" i="5"/>
  <c r="BN23" i="5"/>
  <c r="BN36" i="5"/>
  <c r="BN38" i="5"/>
  <c r="BN40" i="5"/>
  <c r="BN21" i="5"/>
  <c r="BO35" i="5" s="1"/>
  <c r="BN33" i="5"/>
  <c r="BN37" i="5"/>
  <c r="BN22" i="5"/>
  <c r="G43" i="4" l="1"/>
  <c r="F44" i="4"/>
  <c r="BM37" i="9"/>
  <c r="BO33" i="9"/>
  <c r="BO30" i="9"/>
  <c r="BO40" i="9"/>
  <c r="BO36" i="9"/>
  <c r="BO32" i="9"/>
  <c r="BO39" i="9"/>
  <c r="BO35" i="9"/>
  <c r="BO31" i="9"/>
  <c r="BO38" i="9"/>
  <c r="BO34" i="9"/>
  <c r="BN25" i="9"/>
  <c r="BO22" i="9"/>
  <c r="BO21" i="9"/>
  <c r="BO28" i="9"/>
  <c r="BO24" i="9"/>
  <c r="BO29" i="9"/>
  <c r="BN27" i="9"/>
  <c r="BO23" i="9"/>
  <c r="BM41" i="5"/>
  <c r="BM34" i="5"/>
  <c r="BO43" i="5"/>
  <c r="BN25" i="5"/>
  <c r="BO42" i="5"/>
  <c r="BO44" i="5"/>
  <c r="BN30" i="5"/>
  <c r="BO38" i="5"/>
  <c r="BO31" i="5"/>
  <c r="BO39" i="5"/>
  <c r="BO36" i="5"/>
  <c r="BO32" i="5"/>
  <c r="BO21" i="5"/>
  <c r="BP35" i="5" s="1"/>
  <c r="BO23" i="5"/>
  <c r="BO22" i="5"/>
  <c r="BO40" i="5"/>
  <c r="BO33" i="5"/>
  <c r="BO24" i="5"/>
  <c r="BO37" i="5"/>
  <c r="G44" i="4" l="1"/>
  <c r="K25" i="4"/>
  <c r="K24" i="4"/>
  <c r="J29" i="4"/>
  <c r="I35" i="4"/>
  <c r="J30" i="4"/>
  <c r="I34" i="4"/>
  <c r="BN37" i="9"/>
  <c r="BP38" i="9"/>
  <c r="BP34" i="9"/>
  <c r="BP33" i="9"/>
  <c r="BP30" i="9"/>
  <c r="BP40" i="9"/>
  <c r="BP36" i="9"/>
  <c r="BP32" i="9"/>
  <c r="BP39" i="9"/>
  <c r="BP35" i="9"/>
  <c r="BP31" i="9"/>
  <c r="BP29" i="9"/>
  <c r="BO27" i="9"/>
  <c r="BP23" i="9"/>
  <c r="BO25" i="9"/>
  <c r="BP22" i="9"/>
  <c r="BP21" i="9"/>
  <c r="BP28" i="9"/>
  <c r="BP24" i="9"/>
  <c r="BN41" i="5"/>
  <c r="BN34" i="5"/>
  <c r="BP44" i="5"/>
  <c r="BP43" i="5"/>
  <c r="BO25" i="5"/>
  <c r="BP42" i="5"/>
  <c r="BO30" i="5"/>
  <c r="BP36" i="5"/>
  <c r="BP32" i="5"/>
  <c r="BP24" i="5"/>
  <c r="BP38" i="5"/>
  <c r="BP23" i="5"/>
  <c r="BP40" i="5"/>
  <c r="BP37" i="5"/>
  <c r="BP33" i="5"/>
  <c r="BP21" i="5"/>
  <c r="BQ35" i="5" s="1"/>
  <c r="BP31" i="5"/>
  <c r="BP22" i="5"/>
  <c r="BP39" i="5"/>
  <c r="F45" i="4" l="1"/>
  <c r="BQ39" i="9"/>
  <c r="BQ35" i="9"/>
  <c r="BQ31" i="9"/>
  <c r="BQ38" i="9"/>
  <c r="BQ34" i="9"/>
  <c r="BQ33" i="9"/>
  <c r="BQ30" i="9"/>
  <c r="BQ40" i="9"/>
  <c r="BQ36" i="9"/>
  <c r="BQ32" i="9"/>
  <c r="BQ28" i="9"/>
  <c r="BQ24" i="9"/>
  <c r="BQ29" i="9"/>
  <c r="BP27" i="9"/>
  <c r="BQ23" i="9"/>
  <c r="BP25" i="9"/>
  <c r="BQ22" i="9"/>
  <c r="BQ21" i="9"/>
  <c r="BO37" i="9"/>
  <c r="BO41" i="5"/>
  <c r="BO34" i="5"/>
  <c r="BQ42" i="5"/>
  <c r="BQ44" i="5"/>
  <c r="BQ43" i="5"/>
  <c r="BP25" i="5"/>
  <c r="BP30" i="5"/>
  <c r="BQ39" i="5"/>
  <c r="BQ31" i="5"/>
  <c r="BQ24" i="5"/>
  <c r="BQ38" i="5"/>
  <c r="BQ40" i="5"/>
  <c r="BQ37" i="5"/>
  <c r="BQ23" i="5"/>
  <c r="BQ22" i="5"/>
  <c r="BQ33" i="5"/>
  <c r="BQ36" i="5"/>
  <c r="BQ32" i="5"/>
  <c r="BQ21" i="5"/>
  <c r="BR35" i="5" s="1"/>
  <c r="G45" i="4" l="1"/>
  <c r="BR40" i="9"/>
  <c r="BR36" i="9"/>
  <c r="BR32" i="9"/>
  <c r="BR29" i="9"/>
  <c r="BR39" i="9"/>
  <c r="BR35" i="9"/>
  <c r="BR31" i="9"/>
  <c r="BR38" i="9"/>
  <c r="BR34" i="9"/>
  <c r="BR33" i="9"/>
  <c r="BR30" i="9"/>
  <c r="BR21" i="9"/>
  <c r="BR28" i="9"/>
  <c r="BR24" i="9"/>
  <c r="BQ27" i="9"/>
  <c r="BR23" i="9"/>
  <c r="BQ25" i="9"/>
  <c r="BR22" i="9"/>
  <c r="BP37" i="9"/>
  <c r="BP41" i="5"/>
  <c r="BP34" i="5"/>
  <c r="BQ25" i="5"/>
  <c r="BR42" i="5"/>
  <c r="BR44" i="5"/>
  <c r="BR43" i="5"/>
  <c r="BQ30" i="5"/>
  <c r="BR21" i="5"/>
  <c r="BS35" i="5" s="1"/>
  <c r="BR32" i="5"/>
  <c r="BR39" i="5"/>
  <c r="BR31" i="5"/>
  <c r="BR23" i="5"/>
  <c r="BR24" i="5"/>
  <c r="BR40" i="5"/>
  <c r="BR37" i="5"/>
  <c r="BR33" i="5"/>
  <c r="BR36" i="5"/>
  <c r="BR22" i="5"/>
  <c r="BR38" i="5"/>
  <c r="F46" i="4" l="1"/>
  <c r="I36" i="4"/>
  <c r="J31" i="4"/>
  <c r="K26" i="4"/>
  <c r="BQ37" i="9"/>
  <c r="BS33" i="9"/>
  <c r="BS30" i="9"/>
  <c r="BS40" i="9"/>
  <c r="BS36" i="9"/>
  <c r="BS32" i="9"/>
  <c r="BS39" i="9"/>
  <c r="BS35" i="9"/>
  <c r="BS31" i="9"/>
  <c r="BS38" i="9"/>
  <c r="BS34" i="9"/>
  <c r="BR25" i="9"/>
  <c r="BS22" i="9"/>
  <c r="BS21" i="9"/>
  <c r="BS29" i="9"/>
  <c r="BS28" i="9"/>
  <c r="BS24" i="9"/>
  <c r="BR27" i="9"/>
  <c r="BS23" i="9"/>
  <c r="BQ41" i="5"/>
  <c r="BQ34" i="5"/>
  <c r="BS43" i="5"/>
  <c r="BR25" i="5"/>
  <c r="BS42" i="5"/>
  <c r="BS44" i="5"/>
  <c r="BR30" i="5"/>
  <c r="BS38" i="5"/>
  <c r="BS31" i="5"/>
  <c r="BS39" i="5"/>
  <c r="BS22" i="5"/>
  <c r="BS32" i="5"/>
  <c r="BS21" i="5"/>
  <c r="BT35" i="5" s="1"/>
  <c r="BS40" i="5"/>
  <c r="BS37" i="5"/>
  <c r="BS23" i="5"/>
  <c r="BS36" i="5"/>
  <c r="BS24" i="5"/>
  <c r="BS33" i="5"/>
  <c r="G46" i="4" l="1"/>
  <c r="BR37" i="9"/>
  <c r="BT38" i="9"/>
  <c r="BT34" i="9"/>
  <c r="BT33" i="9"/>
  <c r="BT30" i="9"/>
  <c r="BT40" i="9"/>
  <c r="BT36" i="9"/>
  <c r="BT32" i="9"/>
  <c r="BT39" i="9"/>
  <c r="BT35" i="9"/>
  <c r="BT31" i="9"/>
  <c r="BS27" i="9"/>
  <c r="BT23" i="9"/>
  <c r="BS25" i="9"/>
  <c r="BT22" i="9"/>
  <c r="BT21" i="9"/>
  <c r="BT29" i="9"/>
  <c r="BT28" i="9"/>
  <c r="BT24" i="9"/>
  <c r="BR41" i="5"/>
  <c r="BR34" i="5"/>
  <c r="BT44" i="5"/>
  <c r="BT43" i="5"/>
  <c r="BS25" i="5"/>
  <c r="BT42" i="5"/>
  <c r="BS30" i="5"/>
  <c r="BT36" i="5"/>
  <c r="BT32" i="5"/>
  <c r="BT24" i="5"/>
  <c r="BT40" i="5"/>
  <c r="BT37" i="5"/>
  <c r="BT33" i="5"/>
  <c r="BT21" i="5"/>
  <c r="BU35" i="5" s="1"/>
  <c r="BT23" i="5"/>
  <c r="BT31" i="5"/>
  <c r="BT22" i="5"/>
  <c r="BT38" i="5"/>
  <c r="BT39" i="5"/>
  <c r="F47" i="4" l="1"/>
  <c r="J32" i="4"/>
  <c r="K27" i="4"/>
  <c r="I37" i="4"/>
  <c r="BU39" i="9"/>
  <c r="BU35" i="9"/>
  <c r="BU31" i="9"/>
  <c r="BU38" i="9"/>
  <c r="BU34" i="9"/>
  <c r="BU33" i="9"/>
  <c r="BU30" i="9"/>
  <c r="BU40" i="9"/>
  <c r="BU36" i="9"/>
  <c r="BU32" i="9"/>
  <c r="BU29" i="9"/>
  <c r="BU28" i="9"/>
  <c r="BU24" i="9"/>
  <c r="BT27" i="9"/>
  <c r="BU23" i="9"/>
  <c r="BT25" i="9"/>
  <c r="BU22" i="9"/>
  <c r="BU21" i="9"/>
  <c r="BS37" i="9"/>
  <c r="BS41" i="5"/>
  <c r="BS34" i="5"/>
  <c r="BU42" i="5"/>
  <c r="BU44" i="5"/>
  <c r="BU43" i="5"/>
  <c r="BT25" i="5"/>
  <c r="BT30" i="5"/>
  <c r="BU39" i="5"/>
  <c r="BU31" i="5"/>
  <c r="BU22" i="5"/>
  <c r="BU40" i="5"/>
  <c r="BU37" i="5"/>
  <c r="BU24" i="5"/>
  <c r="BU33" i="5"/>
  <c r="BU36" i="5"/>
  <c r="BU32" i="5"/>
  <c r="BU21" i="5"/>
  <c r="BV35" i="5" s="1"/>
  <c r="BU23" i="5"/>
  <c r="BU38" i="5"/>
  <c r="G47" i="4" l="1"/>
  <c r="BV40" i="9"/>
  <c r="BV36" i="9"/>
  <c r="BV32" i="9"/>
  <c r="BV29" i="9"/>
  <c r="BV39" i="9"/>
  <c r="BV35" i="9"/>
  <c r="BV31" i="9"/>
  <c r="BV38" i="9"/>
  <c r="BV34" i="9"/>
  <c r="BV33" i="9"/>
  <c r="BV30" i="9"/>
  <c r="BV21" i="9"/>
  <c r="BV28" i="9"/>
  <c r="BV24" i="9"/>
  <c r="BU27" i="9"/>
  <c r="BV23" i="9"/>
  <c r="BU25" i="9"/>
  <c r="BV22" i="9"/>
  <c r="BT37" i="9"/>
  <c r="BT41" i="5"/>
  <c r="BT34" i="5"/>
  <c r="BU25" i="5"/>
  <c r="BV42" i="5"/>
  <c r="BV44" i="5"/>
  <c r="BV43" i="5"/>
  <c r="BU30" i="5"/>
  <c r="BV24" i="5"/>
  <c r="BV40" i="5"/>
  <c r="BV32" i="5"/>
  <c r="BV39" i="5"/>
  <c r="BV31" i="5"/>
  <c r="BV23" i="5"/>
  <c r="BV37" i="5"/>
  <c r="BV33" i="5"/>
  <c r="BV36" i="5"/>
  <c r="BV22" i="5"/>
  <c r="BV38" i="5"/>
  <c r="BV21" i="5"/>
  <c r="BW35" i="5" s="1"/>
  <c r="F48" i="4" l="1"/>
  <c r="K28" i="4"/>
  <c r="J33" i="4"/>
  <c r="I38" i="4"/>
  <c r="BU37" i="9"/>
  <c r="BW33" i="9"/>
  <c r="BW30" i="9"/>
  <c r="BW40" i="9"/>
  <c r="BW36" i="9"/>
  <c r="BW32" i="9"/>
  <c r="BW39" i="9"/>
  <c r="BW35" i="9"/>
  <c r="BW31" i="9"/>
  <c r="BW38" i="9"/>
  <c r="BW34" i="9"/>
  <c r="BV25" i="9"/>
  <c r="BW22" i="9"/>
  <c r="BW29" i="9"/>
  <c r="BW21" i="9"/>
  <c r="BW28" i="9"/>
  <c r="BW24" i="9"/>
  <c r="BV27" i="9"/>
  <c r="BW23" i="9"/>
  <c r="BU41" i="5"/>
  <c r="BU34" i="5"/>
  <c r="BW43" i="5"/>
  <c r="BV25" i="5"/>
  <c r="BW42" i="5"/>
  <c r="BW44" i="5"/>
  <c r="BV30" i="5"/>
  <c r="BW38" i="5"/>
  <c r="BW31" i="5"/>
  <c r="BW39" i="5"/>
  <c r="BW22" i="5"/>
  <c r="BW21" i="5"/>
  <c r="BX35" i="5" s="1"/>
  <c r="BW33" i="5"/>
  <c r="BW36" i="5"/>
  <c r="BW32" i="5"/>
  <c r="BW24" i="5"/>
  <c r="BW40" i="5"/>
  <c r="BW37" i="5"/>
  <c r="BW23" i="5"/>
  <c r="G48" i="4" l="1"/>
  <c r="BV37" i="9"/>
  <c r="BX38" i="9"/>
  <c r="BX34" i="9"/>
  <c r="BX33" i="9"/>
  <c r="BX30" i="9"/>
  <c r="BX40" i="9"/>
  <c r="BX36" i="9"/>
  <c r="BX32" i="9"/>
  <c r="BX39" i="9"/>
  <c r="BX35" i="9"/>
  <c r="BX31" i="9"/>
  <c r="BW27" i="9"/>
  <c r="BX23" i="9"/>
  <c r="BW25" i="9"/>
  <c r="BX22" i="9"/>
  <c r="BX29" i="9"/>
  <c r="BX21" i="9"/>
  <c r="BX28" i="9"/>
  <c r="BX24" i="9"/>
  <c r="BV41" i="5"/>
  <c r="BV34" i="5"/>
  <c r="BX44" i="5"/>
  <c r="BX43" i="5"/>
  <c r="BW25" i="5"/>
  <c r="BX42" i="5"/>
  <c r="BW30" i="5"/>
  <c r="BX36" i="5"/>
  <c r="BX32" i="5"/>
  <c r="BX24" i="5"/>
  <c r="BX40" i="5"/>
  <c r="BX37" i="5"/>
  <c r="BX33" i="5"/>
  <c r="BX21" i="5"/>
  <c r="BY35" i="5" s="1"/>
  <c r="BX38" i="5"/>
  <c r="BX23" i="5"/>
  <c r="BX39" i="5"/>
  <c r="BX31" i="5"/>
  <c r="BX22" i="5"/>
  <c r="F49" i="4" l="1"/>
  <c r="J34" i="4"/>
  <c r="I39" i="4"/>
  <c r="K29" i="4"/>
  <c r="BW37" i="9"/>
  <c r="BY39" i="9"/>
  <c r="BY35" i="9"/>
  <c r="BY31" i="9"/>
  <c r="BY38" i="9"/>
  <c r="BY34" i="9"/>
  <c r="BY33" i="9"/>
  <c r="BY30" i="9"/>
  <c r="BY40" i="9"/>
  <c r="BY36" i="9"/>
  <c r="BY32" i="9"/>
  <c r="BY29" i="9"/>
  <c r="BY28" i="9"/>
  <c r="BY24" i="9"/>
  <c r="BX27" i="9"/>
  <c r="BY23" i="9"/>
  <c r="BX25" i="9"/>
  <c r="BY22" i="9"/>
  <c r="BY21" i="9"/>
  <c r="BW41" i="5"/>
  <c r="BW34" i="5"/>
  <c r="BY42" i="5"/>
  <c r="BY44" i="5"/>
  <c r="BY43" i="5"/>
  <c r="BX25" i="5"/>
  <c r="BX30" i="5"/>
  <c r="BY39" i="5"/>
  <c r="BY31" i="5"/>
  <c r="BY24" i="5"/>
  <c r="BY33" i="5"/>
  <c r="BY36" i="5"/>
  <c r="BY32" i="5"/>
  <c r="BY21" i="5"/>
  <c r="BZ35" i="5" s="1"/>
  <c r="BY40" i="5"/>
  <c r="BY38" i="5"/>
  <c r="BY37" i="5"/>
  <c r="BY23" i="5"/>
  <c r="BY22" i="5"/>
  <c r="G49" i="4" l="1"/>
  <c r="BZ40" i="9"/>
  <c r="BZ36" i="9"/>
  <c r="BZ32" i="9"/>
  <c r="BZ29" i="9"/>
  <c r="BZ39" i="9"/>
  <c r="BZ35" i="9"/>
  <c r="BZ31" i="9"/>
  <c r="BZ38" i="9"/>
  <c r="BZ34" i="9"/>
  <c r="BZ33" i="9"/>
  <c r="BZ30" i="9"/>
  <c r="BZ21" i="9"/>
  <c r="BZ28" i="9"/>
  <c r="BZ24" i="9"/>
  <c r="BY27" i="9"/>
  <c r="BZ23" i="9"/>
  <c r="BY25" i="9"/>
  <c r="BZ22" i="9"/>
  <c r="BX37" i="9"/>
  <c r="BX41" i="5"/>
  <c r="BX34" i="5"/>
  <c r="BY25" i="5"/>
  <c r="BZ42" i="5"/>
  <c r="BZ44" i="5"/>
  <c r="BZ43" i="5"/>
  <c r="BY30" i="5"/>
  <c r="BZ21" i="5"/>
  <c r="CA35" i="5" s="1"/>
  <c r="BZ32" i="5"/>
  <c r="BZ39" i="5"/>
  <c r="BZ23" i="5"/>
  <c r="BZ38" i="5"/>
  <c r="BZ40" i="5"/>
  <c r="BZ24" i="5"/>
  <c r="BZ31" i="5"/>
  <c r="BZ37" i="5"/>
  <c r="BZ33" i="5"/>
  <c r="BZ36" i="5"/>
  <c r="BZ22" i="5"/>
  <c r="K30" i="4" l="1"/>
  <c r="I40" i="4"/>
  <c r="J35" i="4"/>
  <c r="F50" i="4"/>
  <c r="BY37" i="9"/>
  <c r="CA33" i="9"/>
  <c r="CA30" i="9"/>
  <c r="CA40" i="9"/>
  <c r="CA36" i="9"/>
  <c r="CA32" i="9"/>
  <c r="CA39" i="9"/>
  <c r="CA35" i="9"/>
  <c r="CA31" i="9"/>
  <c r="CA38" i="9"/>
  <c r="CA34" i="9"/>
  <c r="BZ25" i="9"/>
  <c r="CA22" i="9"/>
  <c r="CA21" i="9"/>
  <c r="CA28" i="9"/>
  <c r="CA24" i="9"/>
  <c r="CA29" i="9"/>
  <c r="BZ27" i="9"/>
  <c r="CA23" i="9"/>
  <c r="BY41" i="5"/>
  <c r="BY34" i="5"/>
  <c r="CA43" i="5"/>
  <c r="BZ25" i="5"/>
  <c r="CA42" i="5"/>
  <c r="CA44" i="5"/>
  <c r="BZ30" i="5"/>
  <c r="CA38" i="5"/>
  <c r="CA33" i="5"/>
  <c r="CA31" i="5"/>
  <c r="CA39" i="5"/>
  <c r="CA22" i="5"/>
  <c r="CA36" i="5"/>
  <c r="CA32" i="5"/>
  <c r="CA21" i="5"/>
  <c r="CB35" i="5" s="1"/>
  <c r="CA24" i="5"/>
  <c r="CA40" i="5"/>
  <c r="CA23" i="5"/>
  <c r="CA37" i="5"/>
  <c r="G50" i="4" l="1"/>
  <c r="BZ37" i="9"/>
  <c r="CB38" i="9"/>
  <c r="CB34" i="9"/>
  <c r="CB33" i="9"/>
  <c r="CB30" i="9"/>
  <c r="CB40" i="9"/>
  <c r="CB36" i="9"/>
  <c r="CB32" i="9"/>
  <c r="CB39" i="9"/>
  <c r="CB35" i="9"/>
  <c r="CB31" i="9"/>
  <c r="CB29" i="9"/>
  <c r="CA27" i="9"/>
  <c r="CB23" i="9"/>
  <c r="CA25" i="9"/>
  <c r="CB22" i="9"/>
  <c r="CB21" i="9"/>
  <c r="CB28" i="9"/>
  <c r="CB24" i="9"/>
  <c r="BZ41" i="5"/>
  <c r="BZ34" i="5"/>
  <c r="CB44" i="5"/>
  <c r="CB43" i="5"/>
  <c r="CA25" i="5"/>
  <c r="CB42" i="5"/>
  <c r="CA30" i="5"/>
  <c r="CB36" i="5"/>
  <c r="CB32" i="5"/>
  <c r="CB24" i="5"/>
  <c r="CB40" i="5"/>
  <c r="CB33" i="5"/>
  <c r="CB21" i="5"/>
  <c r="CC35" i="5" s="1"/>
  <c r="CB38" i="5"/>
  <c r="CB23" i="5"/>
  <c r="CB39" i="5"/>
  <c r="CB31" i="5"/>
  <c r="CB22" i="5"/>
  <c r="CB37" i="5"/>
  <c r="F51" i="4" l="1"/>
  <c r="J36" i="4"/>
  <c r="I41" i="4"/>
  <c r="K31" i="4"/>
  <c r="CC39" i="9"/>
  <c r="CC35" i="9"/>
  <c r="CC31" i="9"/>
  <c r="CC38" i="9"/>
  <c r="CC34" i="9"/>
  <c r="CC33" i="9"/>
  <c r="CC30" i="9"/>
  <c r="CC40" i="9"/>
  <c r="CC36" i="9"/>
  <c r="CC32" i="9"/>
  <c r="CC29" i="9"/>
  <c r="CC28" i="9"/>
  <c r="CC24" i="9"/>
  <c r="CB27" i="9"/>
  <c r="CC23" i="9"/>
  <c r="CB25" i="9"/>
  <c r="CC22" i="9"/>
  <c r="CC21" i="9"/>
  <c r="CA37" i="9"/>
  <c r="CA41" i="5"/>
  <c r="CA34" i="5"/>
  <c r="CC42" i="5"/>
  <c r="CC44" i="5"/>
  <c r="CC43" i="5"/>
  <c r="CB25" i="5"/>
  <c r="CB30" i="5"/>
  <c r="CC39" i="5"/>
  <c r="CC31" i="5"/>
  <c r="CC22" i="5"/>
  <c r="CC36" i="5"/>
  <c r="CC32" i="5"/>
  <c r="CC23" i="5"/>
  <c r="CC33" i="5"/>
  <c r="CC21" i="5"/>
  <c r="CD35" i="5" s="1"/>
  <c r="CC38" i="5"/>
  <c r="CC40" i="5"/>
  <c r="CC37" i="5"/>
  <c r="CC24" i="5"/>
  <c r="G51" i="4" l="1"/>
  <c r="F52" i="4" s="1"/>
  <c r="CD40" i="9"/>
  <c r="CD36" i="9"/>
  <c r="CD32" i="9"/>
  <c r="CD29" i="9"/>
  <c r="CD39" i="9"/>
  <c r="CD35" i="9"/>
  <c r="CD31" i="9"/>
  <c r="CD38" i="9"/>
  <c r="CD34" i="9"/>
  <c r="CD33" i="9"/>
  <c r="CD30" i="9"/>
  <c r="CD21" i="9"/>
  <c r="CD28" i="9"/>
  <c r="CD24" i="9"/>
  <c r="CC27" i="9"/>
  <c r="CD23" i="9"/>
  <c r="CC25" i="9"/>
  <c r="CD22" i="9"/>
  <c r="CB37" i="9"/>
  <c r="CB41" i="5"/>
  <c r="CB34" i="5"/>
  <c r="CC25" i="5"/>
  <c r="CD42" i="5"/>
  <c r="CD44" i="5"/>
  <c r="CD43" i="5"/>
  <c r="CC30" i="5"/>
  <c r="CD39" i="5"/>
  <c r="CD31" i="5"/>
  <c r="CD32" i="5"/>
  <c r="CD24" i="5"/>
  <c r="CD36" i="5"/>
  <c r="CD23" i="5"/>
  <c r="CD37" i="5"/>
  <c r="CD33" i="5"/>
  <c r="CD22" i="5"/>
  <c r="CD40" i="5"/>
  <c r="CD38" i="5"/>
  <c r="CD21" i="5"/>
  <c r="CE35" i="5" s="1"/>
  <c r="G52" i="4" l="1"/>
  <c r="J38" i="4"/>
  <c r="I42" i="4"/>
  <c r="K32" i="4"/>
  <c r="K33" i="4"/>
  <c r="J37" i="4"/>
  <c r="I43" i="4"/>
  <c r="CC37" i="9"/>
  <c r="CE33" i="9"/>
  <c r="CE30" i="9"/>
  <c r="CE40" i="9"/>
  <c r="CE36" i="9"/>
  <c r="CE32" i="9"/>
  <c r="CE39" i="9"/>
  <c r="CE35" i="9"/>
  <c r="CE31" i="9"/>
  <c r="CE38" i="9"/>
  <c r="CE34" i="9"/>
  <c r="CD25" i="9"/>
  <c r="CE22" i="9"/>
  <c r="CE29" i="9"/>
  <c r="CE21" i="9"/>
  <c r="CE28" i="9"/>
  <c r="CE24" i="9"/>
  <c r="CD27" i="9"/>
  <c r="CE23" i="9"/>
  <c r="CC41" i="5"/>
  <c r="CC34" i="5"/>
  <c r="CE43" i="5"/>
  <c r="CD25" i="5"/>
  <c r="CE42" i="5"/>
  <c r="CE44" i="5"/>
  <c r="CD30" i="5"/>
  <c r="CE38" i="5"/>
  <c r="CE36" i="5"/>
  <c r="CE32" i="5"/>
  <c r="CE24" i="5"/>
  <c r="CE21" i="5"/>
  <c r="CF35" i="5" s="1"/>
  <c r="CE40" i="5"/>
  <c r="CE37" i="5"/>
  <c r="CE33" i="5"/>
  <c r="CE31" i="5"/>
  <c r="CE39" i="5"/>
  <c r="CE22" i="5"/>
  <c r="CE23" i="5"/>
  <c r="F53" i="4" l="1"/>
  <c r="CD37" i="9"/>
  <c r="CF38" i="9"/>
  <c r="CF34" i="9"/>
  <c r="CF33" i="9"/>
  <c r="CF30" i="9"/>
  <c r="CF40" i="9"/>
  <c r="CF36" i="9"/>
  <c r="CF32" i="9"/>
  <c r="CF39" i="9"/>
  <c r="CF35" i="9"/>
  <c r="CF31" i="9"/>
  <c r="CE27" i="9"/>
  <c r="CF23" i="9"/>
  <c r="CE25" i="9"/>
  <c r="CF22" i="9"/>
  <c r="CF29" i="9"/>
  <c r="CF21" i="9"/>
  <c r="CF28" i="9"/>
  <c r="CF24" i="9"/>
  <c r="CD41" i="5"/>
  <c r="CD34" i="5"/>
  <c r="CF44" i="5"/>
  <c r="CF43" i="5"/>
  <c r="CE25" i="5"/>
  <c r="CF42" i="5"/>
  <c r="CE30" i="5"/>
  <c r="CF36" i="5"/>
  <c r="CF32" i="5"/>
  <c r="CF24" i="5"/>
  <c r="CF38" i="5"/>
  <c r="CF39" i="5"/>
  <c r="CF31" i="5"/>
  <c r="CF40" i="5"/>
  <c r="CF37" i="5"/>
  <c r="CF33" i="5"/>
  <c r="CF21" i="5"/>
  <c r="CF23" i="5"/>
  <c r="CF22" i="5"/>
  <c r="G53" i="4" l="1"/>
  <c r="F54" i="4" s="1"/>
  <c r="CE37" i="9"/>
  <c r="CF27" i="9"/>
  <c r="CF25" i="9"/>
  <c r="CE41" i="5"/>
  <c r="CE34" i="5"/>
  <c r="CF30" i="5"/>
  <c r="CF25" i="5"/>
  <c r="G54" i="4" l="1"/>
  <c r="J39" i="4"/>
  <c r="K35" i="4"/>
  <c r="I45" i="4"/>
  <c r="K34" i="4"/>
  <c r="J40" i="4"/>
  <c r="I44" i="4"/>
  <c r="CF37" i="9"/>
  <c r="CF41" i="5"/>
  <c r="CF34" i="5"/>
  <c r="F55" i="4" l="1"/>
  <c r="G55" i="4" l="1"/>
  <c r="J41" i="4" l="1"/>
  <c r="K36" i="4"/>
  <c r="I46" i="4"/>
  <c r="F56" i="4"/>
  <c r="G56" i="4" l="1"/>
  <c r="F57" i="4" l="1"/>
  <c r="J42" i="4"/>
  <c r="K37" i="4"/>
  <c r="I47" i="4"/>
  <c r="G57" i="4" l="1"/>
  <c r="F58" i="4" l="1"/>
  <c r="I48" i="4"/>
  <c r="J43" i="4"/>
  <c r="K38" i="4"/>
  <c r="G58" i="4" l="1"/>
  <c r="F59" i="4" l="1"/>
  <c r="J44" i="4"/>
  <c r="K39" i="4"/>
  <c r="I49" i="4"/>
  <c r="G59" i="4" l="1"/>
  <c r="F60" i="4" s="1"/>
  <c r="G60" i="4" l="1"/>
  <c r="I50" i="4"/>
  <c r="J45" i="4"/>
  <c r="J46" i="4"/>
  <c r="K40" i="4"/>
  <c r="I51" i="4"/>
  <c r="K41" i="4"/>
  <c r="F61" i="4" l="1"/>
  <c r="G61" i="4" l="1"/>
  <c r="F62" i="4" s="1"/>
  <c r="G62" i="4" l="1"/>
  <c r="I53" i="4"/>
  <c r="J48" i="4"/>
  <c r="K43" i="4"/>
  <c r="J47" i="4"/>
  <c r="I52" i="4"/>
  <c r="K42" i="4"/>
  <c r="F63" i="4" l="1"/>
  <c r="G63" i="4" l="1"/>
  <c r="F64" i="4" s="1"/>
  <c r="G64" i="4" l="1"/>
  <c r="J50" i="4"/>
  <c r="I54" i="4"/>
  <c r="K44" i="4"/>
  <c r="J49" i="4"/>
  <c r="I55" i="4"/>
  <c r="K45" i="4"/>
  <c r="F65" i="4" l="1"/>
  <c r="G65" i="4" l="1"/>
  <c r="F66" i="4" l="1"/>
  <c r="K46" i="4"/>
  <c r="J51" i="4"/>
  <c r="I56" i="4"/>
  <c r="G66" i="4" l="1"/>
  <c r="F67" i="4" l="1"/>
  <c r="I57" i="4"/>
  <c r="K47" i="4"/>
  <c r="J52" i="4"/>
  <c r="G67" i="4" l="1"/>
  <c r="F68" i="4" s="1"/>
  <c r="B2" i="9"/>
  <c r="B25" i="9"/>
  <c r="C25" i="9"/>
  <c r="D25" i="9"/>
  <c r="E25" i="9"/>
  <c r="F25" i="9"/>
  <c r="B6" i="9"/>
  <c r="B9" i="9"/>
  <c r="E22" i="9" s="1"/>
  <c r="B22" i="9"/>
  <c r="B34" i="9" s="1"/>
  <c r="B35" i="9" s="1"/>
  <c r="B38" i="9" s="1"/>
  <c r="C22" i="9"/>
  <c r="D22" i="9"/>
  <c r="F22" i="9"/>
  <c r="G22" i="9"/>
  <c r="H22" i="9"/>
  <c r="J22" i="9"/>
  <c r="K22" i="9"/>
  <c r="G68" i="4" l="1"/>
  <c r="K48" i="4"/>
  <c r="J53" i="4"/>
  <c r="I59" i="4"/>
  <c r="J54" i="4"/>
  <c r="I58" i="4"/>
  <c r="K49" i="4"/>
  <c r="B36" i="9"/>
  <c r="C29" i="9" s="1"/>
  <c r="C30" i="9" s="1"/>
  <c r="I22" i="9"/>
  <c r="F69" i="4" l="1"/>
  <c r="B40" i="9"/>
  <c r="B37" i="9"/>
  <c r="B39" i="9" s="1"/>
  <c r="C28" i="9" s="1"/>
  <c r="C31" i="9" s="1"/>
  <c r="C34" i="9"/>
  <c r="C35" i="9" s="1"/>
  <c r="G69" i="4" l="1"/>
  <c r="B13" i="2"/>
  <c r="B43" i="10"/>
  <c r="C6" i="3" s="1"/>
  <c r="D14" i="3" s="1"/>
  <c r="C36" i="9"/>
  <c r="D29" i="9" s="1"/>
  <c r="C32" i="9"/>
  <c r="F70" i="4" l="1"/>
  <c r="I60" i="4"/>
  <c r="J55" i="4"/>
  <c r="K50" i="4"/>
  <c r="C21" i="3"/>
  <c r="C37" i="9"/>
  <c r="C39" i="9" s="1"/>
  <c r="D28" i="9" s="1"/>
  <c r="D34" i="9"/>
  <c r="D35" i="9" s="1"/>
  <c r="D30" i="9"/>
  <c r="C33" i="9"/>
  <c r="C38" i="9"/>
  <c r="C40" i="9" s="1"/>
  <c r="D31" i="3" s="1"/>
  <c r="D30" i="3" l="1"/>
  <c r="G70" i="4"/>
  <c r="C13" i="2"/>
  <c r="C43" i="10"/>
  <c r="D6" i="3" s="1"/>
  <c r="E14" i="3" s="1"/>
  <c r="D31" i="9"/>
  <c r="D32" i="9" s="1"/>
  <c r="D33" i="9" s="1"/>
  <c r="D36" i="9"/>
  <c r="F71" i="4" l="1"/>
  <c r="K51" i="4"/>
  <c r="J56" i="4"/>
  <c r="I61" i="4"/>
  <c r="E30" i="3"/>
  <c r="D21" i="3"/>
  <c r="D38" i="9"/>
  <c r="D40" i="9" s="1"/>
  <c r="E31" i="3" s="1"/>
  <c r="E29" i="9"/>
  <c r="D37" i="9"/>
  <c r="D39" i="9" s="1"/>
  <c r="E28" i="9" s="1"/>
  <c r="G71" i="4" l="1"/>
  <c r="D13" i="2"/>
  <c r="D43" i="10"/>
  <c r="E6" i="3" s="1"/>
  <c r="E34" i="9"/>
  <c r="E35" i="9" s="1"/>
  <c r="E30" i="9"/>
  <c r="E31" i="9" s="1"/>
  <c r="F14" i="3" l="1"/>
  <c r="E21" i="3"/>
  <c r="F72" i="4"/>
  <c r="K52" i="4"/>
  <c r="J57" i="4"/>
  <c r="I62" i="4"/>
  <c r="E32" i="9"/>
  <c r="E33" i="9" s="1"/>
  <c r="E36" i="9"/>
  <c r="G72" i="4" l="1"/>
  <c r="E38" i="9"/>
  <c r="E40" i="9" s="1"/>
  <c r="F29" i="9"/>
  <c r="E37" i="9"/>
  <c r="E39" i="9" s="1"/>
  <c r="F28" i="9" s="1"/>
  <c r="F73" i="4" l="1"/>
  <c r="I63" i="4"/>
  <c r="J58" i="4"/>
  <c r="K53" i="4"/>
  <c r="E13" i="2"/>
  <c r="E43" i="10"/>
  <c r="F6" i="3" s="1"/>
  <c r="F30" i="9"/>
  <c r="F31" i="9" s="1"/>
  <c r="F34" i="9"/>
  <c r="F35" i="9" s="1"/>
  <c r="F21" i="3" l="1"/>
  <c r="G14" i="3"/>
  <c r="G73" i="4"/>
  <c r="F74" i="4" s="1"/>
  <c r="F32" i="9"/>
  <c r="F38" i="9" s="1"/>
  <c r="F40" i="9" s="1"/>
  <c r="F36" i="9"/>
  <c r="G74" i="4" l="1"/>
  <c r="I65" i="4"/>
  <c r="J59" i="4"/>
  <c r="J60" i="4"/>
  <c r="K54" i="4"/>
  <c r="K55" i="4"/>
  <c r="I64" i="4"/>
  <c r="F13" i="2"/>
  <c r="F43" i="10"/>
  <c r="G6" i="3" s="1"/>
  <c r="F33" i="9"/>
  <c r="G29" i="9"/>
  <c r="F37" i="9"/>
  <c r="F39" i="9" s="1"/>
  <c r="G28" i="9" s="1"/>
  <c r="G21" i="3" l="1"/>
  <c r="H14" i="3"/>
  <c r="F75" i="4"/>
  <c r="G34" i="9"/>
  <c r="G35" i="9" s="1"/>
  <c r="G30" i="9"/>
  <c r="G31" i="9" s="1"/>
  <c r="G75" i="4" l="1"/>
  <c r="F76" i="4"/>
  <c r="G32" i="9"/>
  <c r="G33" i="9" s="1"/>
  <c r="G36" i="9"/>
  <c r="G76" i="4" l="1"/>
  <c r="K57" i="4"/>
  <c r="J62" i="4"/>
  <c r="I67" i="4"/>
  <c r="J61" i="4"/>
  <c r="K56" i="4"/>
  <c r="I66" i="4"/>
  <c r="G38" i="9"/>
  <c r="G40" i="9" s="1"/>
  <c r="G37" i="9"/>
  <c r="G39" i="9" s="1"/>
  <c r="H28" i="9" s="1"/>
  <c r="H29" i="9"/>
  <c r="F77" i="4" l="1"/>
  <c r="G13" i="2"/>
  <c r="G43" i="10"/>
  <c r="H6" i="3" s="1"/>
  <c r="H34" i="9"/>
  <c r="H35" i="9" s="1"/>
  <c r="H30" i="9"/>
  <c r="H31" i="9" s="1"/>
  <c r="H21" i="3" l="1"/>
  <c r="I14" i="3"/>
  <c r="G77" i="4"/>
  <c r="F78" i="4" s="1"/>
  <c r="H32" i="9"/>
  <c r="H33" i="9" s="1"/>
  <c r="H36" i="9"/>
  <c r="G78" i="4" l="1"/>
  <c r="I69" i="4"/>
  <c r="J63" i="4"/>
  <c r="K59" i="4"/>
  <c r="J64" i="4"/>
  <c r="K58" i="4"/>
  <c r="I68" i="4"/>
  <c r="H38" i="9"/>
  <c r="H40" i="9" s="1"/>
  <c r="I29" i="9"/>
  <c r="H37" i="9"/>
  <c r="H39" i="9" s="1"/>
  <c r="I28" i="9" s="1"/>
  <c r="F79" i="4" l="1"/>
  <c r="H13" i="2"/>
  <c r="H43" i="10"/>
  <c r="I6" i="3" s="1"/>
  <c r="I34" i="9"/>
  <c r="I35" i="9" s="1"/>
  <c r="I30" i="9"/>
  <c r="I31" i="9" s="1"/>
  <c r="I21" i="3" l="1"/>
  <c r="J14" i="3"/>
  <c r="G79" i="4"/>
  <c r="F80" i="4"/>
  <c r="I36" i="9"/>
  <c r="I32" i="9"/>
  <c r="I33" i="9" s="1"/>
  <c r="G80" i="4" l="1"/>
  <c r="K60" i="4"/>
  <c r="I71" i="4"/>
  <c r="J66" i="4"/>
  <c r="K61" i="4"/>
  <c r="J65" i="4"/>
  <c r="I70" i="4"/>
  <c r="J29" i="9"/>
  <c r="I37" i="9"/>
  <c r="I39" i="9" s="1"/>
  <c r="J28" i="9" s="1"/>
  <c r="I38" i="9"/>
  <c r="I40" i="9" s="1"/>
  <c r="F81" i="4" l="1"/>
  <c r="I13" i="2"/>
  <c r="I43" i="10"/>
  <c r="J6" i="3" s="1"/>
  <c r="J30" i="9"/>
  <c r="J31" i="9" s="1"/>
  <c r="J34" i="9"/>
  <c r="J35" i="9" s="1"/>
  <c r="J21" i="3" l="1"/>
  <c r="K14" i="3"/>
  <c r="G81" i="4"/>
  <c r="J32" i="9"/>
  <c r="J38" i="9" s="1"/>
  <c r="J40" i="9" s="1"/>
  <c r="J36" i="9"/>
  <c r="K62" i="4" l="1"/>
  <c r="J67" i="4"/>
  <c r="I72" i="4"/>
  <c r="F82" i="4"/>
  <c r="J13" i="2"/>
  <c r="J43" i="10"/>
  <c r="K6" i="3" s="1"/>
  <c r="J33" i="9"/>
  <c r="K29" i="9"/>
  <c r="J37" i="9"/>
  <c r="J39" i="9" s="1"/>
  <c r="K28" i="9" s="1"/>
  <c r="K21" i="3" l="1"/>
  <c r="L14" i="3"/>
  <c r="G82" i="4"/>
  <c r="K34" i="9"/>
  <c r="K35" i="9" s="1"/>
  <c r="K30" i="9"/>
  <c r="K31" i="9" s="1"/>
  <c r="F83" i="4" l="1"/>
  <c r="K63" i="4"/>
  <c r="I73" i="4"/>
  <c r="J68" i="4"/>
  <c r="K36" i="9"/>
  <c r="K37" i="9" s="1"/>
  <c r="K32" i="9"/>
  <c r="K38" i="9" s="1"/>
  <c r="K39" i="9" l="1"/>
  <c r="C12" i="9" s="1"/>
  <c r="C14" i="9" s="1"/>
  <c r="G83" i="4"/>
  <c r="F84" i="4"/>
  <c r="K33" i="9"/>
  <c r="K40" i="9"/>
  <c r="G84" i="4" l="1"/>
  <c r="K65" i="4"/>
  <c r="J69" i="4"/>
  <c r="I74" i="4"/>
  <c r="K64" i="4"/>
  <c r="J70" i="4"/>
  <c r="I75" i="4"/>
  <c r="K13" i="2"/>
  <c r="K43" i="10"/>
  <c r="L6" i="3" s="1"/>
  <c r="L21" i="3" s="1"/>
  <c r="D29" i="10"/>
  <c r="I29" i="10"/>
  <c r="K29" i="10"/>
  <c r="E29" i="10"/>
  <c r="G29" i="10"/>
  <c r="H29" i="10"/>
  <c r="J29" i="10"/>
  <c r="F29" i="10"/>
  <c r="B29" i="10"/>
  <c r="B30" i="10" s="1"/>
  <c r="K12" i="3" l="1"/>
  <c r="J30" i="10"/>
  <c r="L12" i="3"/>
  <c r="K30" i="10"/>
  <c r="I12" i="3"/>
  <c r="H30" i="10"/>
  <c r="J12" i="3"/>
  <c r="I30" i="10"/>
  <c r="H12" i="3"/>
  <c r="G30" i="10"/>
  <c r="E12" i="3"/>
  <c r="D30" i="10"/>
  <c r="E17" i="3" s="1"/>
  <c r="E22" i="3" s="1"/>
  <c r="F30" i="10"/>
  <c r="G17" i="3" s="1"/>
  <c r="G22" i="3" s="1"/>
  <c r="G12" i="3"/>
  <c r="E30" i="10"/>
  <c r="F17" i="3" s="1"/>
  <c r="F22" i="3" s="1"/>
  <c r="F12" i="3"/>
  <c r="F85" i="4"/>
  <c r="C17" i="3"/>
  <c r="C22" i="3" s="1"/>
  <c r="B32" i="10"/>
  <c r="B33" i="10" s="1"/>
  <c r="B34" i="10" s="1"/>
  <c r="C12" i="3"/>
  <c r="J17" i="3" l="1"/>
  <c r="J22" i="3" s="1"/>
  <c r="I32" i="10"/>
  <c r="L17" i="3"/>
  <c r="L22" i="3" s="1"/>
  <c r="K32" i="10"/>
  <c r="H17" i="3"/>
  <c r="H22" i="3" s="1"/>
  <c r="G32" i="10"/>
  <c r="I17" i="3"/>
  <c r="I22" i="3" s="1"/>
  <c r="H32" i="10"/>
  <c r="K17" i="3"/>
  <c r="K22" i="3" s="1"/>
  <c r="J32" i="10"/>
  <c r="G85" i="4"/>
  <c r="F86" i="4" s="1"/>
  <c r="F32" i="10"/>
  <c r="C32" i="10"/>
  <c r="D32" i="3" s="1"/>
  <c r="D33" i="3" s="1"/>
  <c r="D17" i="3"/>
  <c r="D22" i="3" s="1"/>
  <c r="E32" i="10"/>
  <c r="D32" i="10"/>
  <c r="E32" i="3" s="1"/>
  <c r="E33" i="3" s="1"/>
  <c r="B41" i="10"/>
  <c r="C13" i="3"/>
  <c r="B40" i="10"/>
  <c r="B35" i="10"/>
  <c r="C27" i="10" l="1"/>
  <c r="D35" i="3"/>
  <c r="D37" i="3" s="1"/>
  <c r="G86" i="4"/>
  <c r="I77" i="4" s="1"/>
  <c r="K66" i="4"/>
  <c r="J71" i="4"/>
  <c r="I76" i="4"/>
  <c r="C33" i="10"/>
  <c r="C34" i="10" s="1"/>
  <c r="D13" i="3" s="1"/>
  <c r="D15" i="3" s="1"/>
  <c r="D24" i="3" s="1"/>
  <c r="C15" i="3"/>
  <c r="C24" i="3" s="1"/>
  <c r="B42" i="10"/>
  <c r="C4" i="3"/>
  <c r="C7" i="3" s="1"/>
  <c r="C9" i="3" s="1"/>
  <c r="J72" i="4" l="1"/>
  <c r="K67" i="4"/>
  <c r="F87" i="4"/>
  <c r="C35" i="10"/>
  <c r="C40" i="10"/>
  <c r="D4" i="3" s="1"/>
  <c r="D7" i="3" s="1"/>
  <c r="D9" i="3" s="1"/>
  <c r="C41" i="10"/>
  <c r="D27" i="10" l="1"/>
  <c r="D33" i="10" s="1"/>
  <c r="D34" i="10" s="1"/>
  <c r="E13" i="3" s="1"/>
  <c r="E15" i="3" s="1"/>
  <c r="E24" i="3" s="1"/>
  <c r="E35" i="3"/>
  <c r="E37" i="3" s="1"/>
  <c r="G87" i="4"/>
  <c r="F88" i="4" s="1"/>
  <c r="C42" i="10"/>
  <c r="D40" i="10" l="1"/>
  <c r="D35" i="10"/>
  <c r="D41" i="10"/>
  <c r="E27" i="10" s="1"/>
  <c r="E33" i="10" s="1"/>
  <c r="E34" i="10" s="1"/>
  <c r="F13" i="3" s="1"/>
  <c r="F15" i="3" s="1"/>
  <c r="F24" i="3" s="1"/>
  <c r="G88" i="4"/>
  <c r="J74" i="4" s="1"/>
  <c r="J73" i="4"/>
  <c r="I78" i="4"/>
  <c r="K68" i="4"/>
  <c r="I79" i="4" l="1"/>
  <c r="K69" i="4"/>
  <c r="D42" i="10"/>
  <c r="E4" i="3"/>
  <c r="E7" i="3" s="1"/>
  <c r="E9" i="3" s="1"/>
  <c r="F89" i="4"/>
  <c r="E35" i="10"/>
  <c r="E40" i="10"/>
  <c r="F4" i="3" s="1"/>
  <c r="F7" i="3" s="1"/>
  <c r="E41" i="10"/>
  <c r="F27" i="10" s="1"/>
  <c r="F33" i="10" s="1"/>
  <c r="F9" i="3" l="1"/>
  <c r="G89" i="4"/>
  <c r="F90" i="4" s="1"/>
  <c r="E42" i="10"/>
  <c r="F34" i="10"/>
  <c r="G13" i="3" s="1"/>
  <c r="G15" i="3" s="1"/>
  <c r="G24" i="3" s="1"/>
  <c r="G90" i="4" l="1"/>
  <c r="I80" i="4"/>
  <c r="K71" i="4"/>
  <c r="J76" i="4"/>
  <c r="K70" i="4"/>
  <c r="I81" i="4"/>
  <c r="J75" i="4"/>
  <c r="F41" i="10"/>
  <c r="G27" i="10" s="1"/>
  <c r="G33" i="10" s="1"/>
  <c r="G34" i="10" s="1"/>
  <c r="F40" i="10"/>
  <c r="G4" i="3" s="1"/>
  <c r="G7" i="3" s="1"/>
  <c r="G9" i="3" s="1"/>
  <c r="F35" i="10"/>
  <c r="G35" i="10" l="1"/>
  <c r="H13" i="3"/>
  <c r="H15" i="3" s="1"/>
  <c r="H24" i="3" s="1"/>
  <c r="F91" i="4"/>
  <c r="F42" i="10"/>
  <c r="B9" i="3"/>
  <c r="G41" i="10"/>
  <c r="H27" i="10" s="1"/>
  <c r="G40" i="10"/>
  <c r="H4" i="3" s="1"/>
  <c r="H7" i="3" s="1"/>
  <c r="H9" i="3" s="1"/>
  <c r="H33" i="10" l="1"/>
  <c r="H34" i="10" s="1"/>
  <c r="G91" i="4"/>
  <c r="G42" i="10"/>
  <c r="H35" i="10" l="1"/>
  <c r="H40" i="10"/>
  <c r="I13" i="3"/>
  <c r="I15" i="3" s="1"/>
  <c r="I24" i="3" s="1"/>
  <c r="H41" i="10"/>
  <c r="I27" i="10" s="1"/>
  <c r="I33" i="10" s="1"/>
  <c r="I34" i="10" s="1"/>
  <c r="F92" i="4"/>
  <c r="J77" i="4"/>
  <c r="I82" i="4"/>
  <c r="K72" i="4"/>
  <c r="I4" i="3" l="1"/>
  <c r="I7" i="3" s="1"/>
  <c r="I9" i="3" s="1"/>
  <c r="H42" i="10"/>
  <c r="I40" i="10"/>
  <c r="J4" i="3" s="1"/>
  <c r="J7" i="3" s="1"/>
  <c r="J9" i="3" s="1"/>
  <c r="J13" i="3"/>
  <c r="J15" i="3" s="1"/>
  <c r="J24" i="3" s="1"/>
  <c r="G92" i="4"/>
  <c r="I35" i="10"/>
  <c r="I41" i="10"/>
  <c r="J27" i="10" s="1"/>
  <c r="J33" i="10" s="1"/>
  <c r="I42" i="10" l="1"/>
  <c r="F93" i="4"/>
  <c r="I83" i="4"/>
  <c r="J78" i="4"/>
  <c r="K73" i="4"/>
  <c r="J34" i="10"/>
  <c r="J40" i="10" l="1"/>
  <c r="K4" i="3" s="1"/>
  <c r="K7" i="3" s="1"/>
  <c r="K9" i="3" s="1"/>
  <c r="K13" i="3"/>
  <c r="K15" i="3" s="1"/>
  <c r="K24" i="3" s="1"/>
  <c r="G93" i="4"/>
  <c r="F94" i="4"/>
  <c r="J42" i="10"/>
  <c r="J35" i="10"/>
  <c r="J41" i="10"/>
  <c r="K27" i="10" s="1"/>
  <c r="K33" i="10" s="1"/>
  <c r="G94" i="4" l="1"/>
  <c r="I85" i="4"/>
  <c r="J80" i="4"/>
  <c r="K75" i="4"/>
  <c r="I84" i="4"/>
  <c r="K74" i="4"/>
  <c r="J79" i="4"/>
  <c r="K41" i="10"/>
  <c r="K34" i="10"/>
  <c r="K40" i="10" s="1"/>
  <c r="L4" i="3" s="1"/>
  <c r="L7" i="3" s="1"/>
  <c r="L9" i="3" s="1"/>
  <c r="K35" i="10" l="1"/>
  <c r="L13" i="3"/>
  <c r="L15" i="3" s="1"/>
  <c r="L24" i="3" s="1"/>
  <c r="F95" i="4"/>
  <c r="K42" i="10"/>
  <c r="G95" i="4" l="1"/>
  <c r="I86" i="4" l="1"/>
  <c r="J81" i="4"/>
  <c r="K76" i="4"/>
  <c r="F96" i="4"/>
  <c r="G96" i="4" l="1"/>
  <c r="F97" i="4" l="1"/>
  <c r="J82" i="4"/>
  <c r="I87" i="4"/>
  <c r="K77" i="4"/>
  <c r="G97" i="4" l="1"/>
  <c r="F98" i="4" l="1"/>
  <c r="I88" i="4"/>
  <c r="J83" i="4"/>
  <c r="K78" i="4"/>
  <c r="G98" i="4" l="1"/>
  <c r="F99" i="4" l="1"/>
  <c r="I89" i="4"/>
  <c r="J84" i="4"/>
  <c r="K79" i="4"/>
  <c r="G99" i="4" l="1"/>
  <c r="F100" i="4" s="1"/>
  <c r="G100" i="4" l="1"/>
  <c r="K80" i="4"/>
  <c r="K81" i="4"/>
  <c r="I90" i="4"/>
  <c r="J85" i="4"/>
  <c r="J86" i="4"/>
  <c r="I91" i="4"/>
  <c r="F101" i="4" l="1"/>
  <c r="G101" i="4" l="1"/>
  <c r="F102" i="4" l="1"/>
  <c r="J87" i="4"/>
  <c r="I92" i="4"/>
  <c r="K82" i="4"/>
  <c r="G102" i="4" l="1"/>
  <c r="F103" i="4" l="1"/>
  <c r="J88" i="4"/>
  <c r="K83" i="4"/>
  <c r="I93" i="4"/>
  <c r="G103" i="4" l="1"/>
  <c r="F104" i="4" l="1"/>
  <c r="J89" i="4"/>
  <c r="K84" i="4"/>
  <c r="I94" i="4"/>
  <c r="G104" i="4" l="1"/>
  <c r="F105" i="4" l="1"/>
  <c r="K85" i="4"/>
  <c r="I95" i="4"/>
  <c r="J90" i="4"/>
  <c r="G105" i="4" l="1"/>
  <c r="F106" i="4" l="1"/>
  <c r="K86" i="4"/>
  <c r="J91" i="4"/>
  <c r="I96" i="4"/>
  <c r="G106" i="4" l="1"/>
  <c r="F107" i="4" l="1"/>
  <c r="J92" i="4"/>
  <c r="I97" i="4"/>
  <c r="K87" i="4"/>
  <c r="G107" i="4" l="1"/>
  <c r="F108" i="4" l="1"/>
  <c r="I98" i="4"/>
  <c r="K88" i="4"/>
  <c r="J93" i="4"/>
  <c r="G108" i="4" l="1"/>
  <c r="F109" i="4" l="1"/>
  <c r="J94" i="4"/>
  <c r="I99" i="4"/>
  <c r="K89" i="4"/>
  <c r="G109" i="4" l="1"/>
  <c r="F110" i="4" s="1"/>
  <c r="G110" i="4" l="1"/>
  <c r="K90" i="4"/>
  <c r="I101" i="4"/>
  <c r="J95" i="4"/>
  <c r="I100" i="4"/>
  <c r="K91" i="4"/>
  <c r="J96" i="4"/>
  <c r="F111" i="4" l="1"/>
  <c r="G111" i="4" l="1"/>
  <c r="K111" i="4"/>
  <c r="K107" i="4" l="1"/>
  <c r="K95" i="4"/>
  <c r="J103" i="4"/>
  <c r="J97" i="4"/>
  <c r="I107" i="4"/>
  <c r="J101" i="4"/>
  <c r="I105" i="4"/>
  <c r="K100" i="4"/>
  <c r="K102" i="4"/>
  <c r="I110" i="4"/>
  <c r="J108" i="4"/>
  <c r="J98" i="4"/>
  <c r="J104" i="4"/>
  <c r="K98" i="4"/>
  <c r="J102" i="4"/>
  <c r="I106" i="4"/>
  <c r="I102" i="4"/>
  <c r="K94" i="4"/>
  <c r="K110" i="4"/>
  <c r="I108" i="4"/>
  <c r="K96" i="4"/>
  <c r="K97" i="4"/>
  <c r="J107" i="4"/>
  <c r="K104" i="4"/>
  <c r="I103" i="4"/>
  <c r="K103" i="4"/>
  <c r="J106" i="4"/>
  <c r="K106" i="4"/>
  <c r="K93" i="4"/>
  <c r="J110" i="4"/>
  <c r="K108" i="4"/>
  <c r="K105" i="4"/>
  <c r="J99" i="4"/>
  <c r="K101" i="4"/>
  <c r="J105" i="4"/>
  <c r="I104" i="4"/>
  <c r="K99" i="4"/>
  <c r="K92" i="4"/>
  <c r="J100" i="4"/>
  <c r="K109" i="4"/>
  <c r="I109" i="4"/>
  <c r="J109" i="4"/>
  <c r="J111" i="4"/>
  <c r="I111" i="4"/>
</calcChain>
</file>

<file path=xl/sharedStrings.xml><?xml version="1.0" encoding="utf-8"?>
<sst xmlns="http://schemas.openxmlformats.org/spreadsheetml/2006/main" count="198" uniqueCount="117">
  <si>
    <t>年龄</t>
  </si>
  <si>
    <t>非养老金业务表</t>
  </si>
  <si>
    <t>养老金业务表</t>
  </si>
  <si>
    <r>
      <t>男</t>
    </r>
    <r>
      <rPr>
        <sz val="10"/>
        <rFont val="Times New Roman"/>
        <family val="1"/>
      </rPr>
      <t>(CL1)</t>
    </r>
    <phoneticPr fontId="6" type="noConversion"/>
  </si>
  <si>
    <r>
      <t>女</t>
    </r>
    <r>
      <rPr>
        <sz val="10"/>
        <rFont val="Times New Roman"/>
        <family val="1"/>
      </rPr>
      <t>(CL2)</t>
    </r>
  </si>
  <si>
    <r>
      <t>男</t>
    </r>
    <r>
      <rPr>
        <sz val="10"/>
        <rFont val="Times New Roman"/>
        <family val="1"/>
      </rPr>
      <t>(CL3)</t>
    </r>
  </si>
  <si>
    <r>
      <t>女</t>
    </r>
    <r>
      <rPr>
        <sz val="10"/>
        <rFont val="Times New Roman"/>
        <family val="1"/>
      </rPr>
      <t>(CL4)</t>
    </r>
  </si>
  <si>
    <t>男</t>
    <phoneticPr fontId="6" type="noConversion"/>
  </si>
  <si>
    <t>女</t>
    <phoneticPr fontId="6" type="noConversion"/>
  </si>
  <si>
    <t>lx</t>
    <phoneticPr fontId="6" type="noConversion"/>
  </si>
  <si>
    <t>dx</t>
    <phoneticPr fontId="6" type="noConversion"/>
  </si>
  <si>
    <t>产品类型</t>
    <phoneticPr fontId="6" type="noConversion"/>
  </si>
  <si>
    <t>保险期间</t>
    <phoneticPr fontId="6" type="noConversion"/>
  </si>
  <si>
    <t>保额</t>
    <phoneticPr fontId="6" type="noConversion"/>
  </si>
  <si>
    <t>投保年龄</t>
    <phoneticPr fontId="6" type="noConversion"/>
  </si>
  <si>
    <t>投保性别</t>
    <phoneticPr fontId="6" type="noConversion"/>
  </si>
  <si>
    <t>选用生命表</t>
    <phoneticPr fontId="6" type="noConversion"/>
  </si>
  <si>
    <t>评估利率</t>
    <phoneticPr fontId="4" type="noConversion"/>
  </si>
  <si>
    <t>缴费期</t>
    <phoneticPr fontId="4" type="noConversion"/>
  </si>
  <si>
    <t>减轻模型的负担，完成一部分假设的展开</t>
    <phoneticPr fontId="4" type="noConversion"/>
  </si>
  <si>
    <t>死亡率</t>
    <phoneticPr fontId="4" type="noConversion"/>
  </si>
  <si>
    <t>利率路径</t>
    <phoneticPr fontId="4" type="noConversion"/>
  </si>
  <si>
    <t>缴费指示子</t>
    <phoneticPr fontId="4" type="noConversion"/>
  </si>
  <si>
    <t>index,hlookup</t>
    <phoneticPr fontId="4" type="noConversion"/>
  </si>
  <si>
    <t>期初保险基金</t>
    <phoneticPr fontId="4" type="noConversion"/>
  </si>
  <si>
    <t>期初有效保单数</t>
    <phoneticPr fontId="4" type="noConversion"/>
  </si>
  <si>
    <t>期初保单数</t>
    <phoneticPr fontId="4" type="noConversion"/>
  </si>
  <si>
    <t>期初保费收入</t>
    <phoneticPr fontId="4" type="noConversion"/>
  </si>
  <si>
    <t>期初可投资基金</t>
    <phoneticPr fontId="4" type="noConversion"/>
  </si>
  <si>
    <t>本期投资收益</t>
    <phoneticPr fontId="4" type="noConversion"/>
  </si>
  <si>
    <t>本期死亡数</t>
    <phoneticPr fontId="4" type="noConversion"/>
  </si>
  <si>
    <t>本期死亡给付</t>
    <phoneticPr fontId="4" type="noConversion"/>
  </si>
  <si>
    <t>期末有效保单数</t>
    <phoneticPr fontId="4" type="noConversion"/>
  </si>
  <si>
    <t>责任准备金</t>
    <phoneticPr fontId="4" type="noConversion"/>
  </si>
  <si>
    <t>期末待分配基金</t>
    <phoneticPr fontId="4" type="noConversion"/>
  </si>
  <si>
    <t>责任准备金的递推公式；</t>
    <phoneticPr fontId="4" type="noConversion"/>
  </si>
  <si>
    <t>死亡费用，mortality charge</t>
    <phoneticPr fontId="4" type="noConversion"/>
  </si>
  <si>
    <t>或者说，生存下来的保单支付的死亡费用。</t>
    <phoneticPr fontId="4" type="noConversion"/>
  </si>
  <si>
    <t>amount at risk</t>
    <phoneticPr fontId="4" type="noConversion"/>
  </si>
  <si>
    <t>投保年龄</t>
    <phoneticPr fontId="4" type="noConversion"/>
  </si>
  <si>
    <t>缴费期</t>
    <phoneticPr fontId="4" type="noConversion"/>
  </si>
  <si>
    <t>死亡率因子</t>
    <phoneticPr fontId="4" type="noConversion"/>
  </si>
  <si>
    <t>确定大小，多少个x值</t>
    <phoneticPr fontId="4" type="noConversion"/>
  </si>
  <si>
    <t>选择区域，比x值多一行；</t>
    <phoneticPr fontId="4" type="noConversion"/>
  </si>
  <si>
    <t>调用模拟运算表功能，指定调用x值的单元格；</t>
    <phoneticPr fontId="4" type="noConversion"/>
  </si>
  <si>
    <t>完成后，Table部分显示结果为0。</t>
    <phoneticPr fontId="4" type="noConversion"/>
  </si>
  <si>
    <t>在Table上方指定引用的Y值单元格，比如=c12</t>
    <phoneticPr fontId="4" type="noConversion"/>
  </si>
  <si>
    <t>男</t>
  </si>
  <si>
    <t>男</t>
    <phoneticPr fontId="4" type="noConversion"/>
  </si>
  <si>
    <t>女</t>
    <phoneticPr fontId="4" type="noConversion"/>
  </si>
  <si>
    <t>定期</t>
    <phoneticPr fontId="4" type="noConversion"/>
  </si>
  <si>
    <t>两全</t>
    <phoneticPr fontId="4" type="noConversion"/>
  </si>
  <si>
    <t>生存给付指示子</t>
    <phoneticPr fontId="4" type="noConversion"/>
  </si>
  <si>
    <t>期末生存给付</t>
    <phoneticPr fontId="4" type="noConversion"/>
  </si>
  <si>
    <t>期末保险基金(生存给付后）</t>
    <phoneticPr fontId="4" type="noConversion"/>
  </si>
  <si>
    <t>期末保险基金(生存给付前）</t>
    <phoneticPr fontId="4" type="noConversion"/>
  </si>
  <si>
    <t>2-9</t>
    <phoneticPr fontId="4" type="noConversion"/>
  </si>
  <si>
    <t>&gt;=10</t>
    <phoneticPr fontId="4" type="noConversion"/>
  </si>
  <si>
    <t>每单</t>
    <phoneticPr fontId="4" type="noConversion"/>
  </si>
  <si>
    <t>每千元保额</t>
    <phoneticPr fontId="4" type="noConversion"/>
  </si>
  <si>
    <t>保费百分比</t>
    <phoneticPr fontId="4" type="noConversion"/>
  </si>
  <si>
    <t>本期期初费用</t>
    <phoneticPr fontId="4" type="noConversion"/>
  </si>
  <si>
    <t>毛保费</t>
    <phoneticPr fontId="4" type="noConversion"/>
  </si>
  <si>
    <t>净保费</t>
    <phoneticPr fontId="4" type="noConversion"/>
  </si>
  <si>
    <t>定价利率</t>
    <phoneticPr fontId="4" type="noConversion"/>
  </si>
  <si>
    <t>净保费</t>
    <phoneticPr fontId="4" type="noConversion"/>
  </si>
  <si>
    <t>毛保费</t>
    <phoneticPr fontId="4" type="noConversion"/>
  </si>
  <si>
    <t>责任准备金</t>
    <phoneticPr fontId="4" type="noConversion"/>
  </si>
  <si>
    <t>测试利率路径编号</t>
    <phoneticPr fontId="4" type="noConversion"/>
  </si>
  <si>
    <t>测试保费</t>
    <phoneticPr fontId="4" type="noConversion"/>
  </si>
  <si>
    <t>测试死亡率因子</t>
    <phoneticPr fontId="4" type="noConversion"/>
  </si>
  <si>
    <t>测试生命表</t>
    <phoneticPr fontId="6" type="noConversion"/>
  </si>
  <si>
    <t>资产份额</t>
    <phoneticPr fontId="4" type="noConversion"/>
  </si>
  <si>
    <t>变量表</t>
    <phoneticPr fontId="4" type="noConversion"/>
  </si>
  <si>
    <t>场景scenario</t>
    <phoneticPr fontId="4" type="noConversion"/>
  </si>
  <si>
    <t>外推计算表</t>
    <phoneticPr fontId="4" type="noConversion"/>
  </si>
  <si>
    <t>启动资本</t>
    <phoneticPr fontId="4" type="noConversion"/>
  </si>
  <si>
    <t>Tentative</t>
    <phoneticPr fontId="4" type="noConversion"/>
  </si>
  <si>
    <t>试探性的</t>
    <phoneticPr fontId="4" type="noConversion"/>
  </si>
  <si>
    <t>资产负债表</t>
    <phoneticPr fontId="4" type="noConversion"/>
  </si>
  <si>
    <t>资产</t>
    <phoneticPr fontId="4" type="noConversion"/>
  </si>
  <si>
    <t>负债</t>
    <phoneticPr fontId="4" type="noConversion"/>
  </si>
  <si>
    <t>权益</t>
    <phoneticPr fontId="4" type="noConversion"/>
  </si>
  <si>
    <t>银行存款方式</t>
    <phoneticPr fontId="4" type="noConversion"/>
  </si>
  <si>
    <t>利润表</t>
    <phoneticPr fontId="4" type="noConversion"/>
  </si>
  <si>
    <t>收入</t>
    <phoneticPr fontId="4" type="noConversion"/>
  </si>
  <si>
    <t>费用</t>
    <phoneticPr fontId="4" type="noConversion"/>
  </si>
  <si>
    <t>保费收入</t>
    <phoneticPr fontId="4" type="noConversion"/>
  </si>
  <si>
    <t>投资收益</t>
    <phoneticPr fontId="4" type="noConversion"/>
  </si>
  <si>
    <t>佣金</t>
    <phoneticPr fontId="4" type="noConversion"/>
  </si>
  <si>
    <t>死亡给付</t>
    <phoneticPr fontId="4" type="noConversion"/>
  </si>
  <si>
    <t>生存给付</t>
    <phoneticPr fontId="4" type="noConversion"/>
  </si>
  <si>
    <t>小计</t>
    <phoneticPr fontId="4" type="noConversion"/>
  </si>
  <si>
    <t>期初佣金支出</t>
    <phoneticPr fontId="4" type="noConversion"/>
  </si>
  <si>
    <t>公司费用</t>
    <phoneticPr fontId="4" type="noConversion"/>
  </si>
  <si>
    <t>利润</t>
    <phoneticPr fontId="4" type="noConversion"/>
  </si>
  <si>
    <t>资产负债法利润</t>
    <phoneticPr fontId="4" type="noConversion"/>
  </si>
  <si>
    <t>转回责任准备金</t>
    <phoneticPr fontId="4" type="noConversion"/>
  </si>
  <si>
    <t>提取责任准备金</t>
    <phoneticPr fontId="4" type="noConversion"/>
  </si>
  <si>
    <t>v</t>
    <phoneticPr fontId="4" type="noConversion"/>
  </si>
  <si>
    <t>n</t>
    <phoneticPr fontId="4" type="noConversion"/>
  </si>
  <si>
    <t>v^k</t>
    <phoneticPr fontId="4" type="noConversion"/>
  </si>
  <si>
    <t>折现率</t>
    <phoneticPr fontId="4" type="noConversion"/>
  </si>
  <si>
    <t>保险期间</t>
    <phoneticPr fontId="4" type="noConversion"/>
  </si>
  <si>
    <t>=SUMPRODUCT(H7:INDIRECT("h" &amp;n0+6),G6:INDIRECT("g" &amp; n0+5))/F6</t>
    <phoneticPr fontId="4" type="noConversion"/>
  </si>
  <si>
    <t>=SUMPRODUCT(G6:OFFSET(G6,n0-1,0),H$7:INDEX(H$7:H$200,n0))/F6</t>
    <phoneticPr fontId="4" type="noConversion"/>
  </si>
  <si>
    <r>
      <t>VBA</t>
    </r>
    <r>
      <rPr>
        <sz val="10"/>
        <rFont val="宋体"/>
        <family val="3"/>
        <charset val="134"/>
      </rPr>
      <t>里有</t>
    </r>
    <r>
      <rPr>
        <sz val="10"/>
        <rFont val="Times New Roman"/>
        <family val="1"/>
      </rPr>
      <t>Resize</t>
    </r>
    <r>
      <rPr>
        <sz val="10"/>
        <rFont val="宋体"/>
        <family val="3"/>
        <charset val="134"/>
      </rPr>
      <t>属性</t>
    </r>
    <r>
      <rPr>
        <sz val="10"/>
        <rFont val="Times New Roman"/>
        <family val="1"/>
      </rPr>
      <t>,</t>
    </r>
    <r>
      <rPr>
        <sz val="10"/>
        <rFont val="宋体"/>
        <family val="3"/>
        <charset val="134"/>
      </rPr>
      <t>比</t>
    </r>
    <r>
      <rPr>
        <sz val="10"/>
        <rFont val="Times New Roman"/>
        <family val="1"/>
      </rPr>
      <t>Offset</t>
    </r>
    <r>
      <rPr>
        <sz val="10"/>
        <rFont val="宋体"/>
        <family val="3"/>
        <charset val="134"/>
      </rPr>
      <t>好用</t>
    </r>
    <phoneticPr fontId="4" type="noConversion"/>
  </si>
  <si>
    <t>一个公式算保费</t>
    <phoneticPr fontId="4" type="noConversion"/>
  </si>
  <si>
    <t>完成第三年的利源分析</t>
    <phoneticPr fontId="4" type="noConversion"/>
  </si>
  <si>
    <t>利差损益</t>
    <phoneticPr fontId="4" type="noConversion"/>
  </si>
  <si>
    <t>死差损益</t>
    <phoneticPr fontId="4" type="noConversion"/>
  </si>
  <si>
    <t>费差损益</t>
    <phoneticPr fontId="4" type="noConversion"/>
  </si>
  <si>
    <t>对应于准备金负债</t>
    <phoneticPr fontId="4" type="noConversion"/>
  </si>
  <si>
    <t>自由资产部分</t>
    <phoneticPr fontId="4" type="noConversion"/>
  </si>
  <si>
    <t>小计</t>
    <phoneticPr fontId="4" type="noConversion"/>
  </si>
  <si>
    <t>利润合计</t>
    <phoneticPr fontId="4" type="noConversion"/>
  </si>
  <si>
    <t>定期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</si>
</sst>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76" formatCode="_ &quot;￥&quot;* #,##0.00_ ;_ &quot;￥&quot;* \-#,##0.00_ ;_ &quot;￥&quot;* &quot;-&quot;??_ ;_ @_ "/>
    <numFmt numFmtId="177" formatCode="0.000000"/>
    <numFmt numFmtId="178" formatCode="0.0%"/>
    <numFmt numFmtId="179" formatCode="0.00_ "/>
    <numFmt numFmtId="180" formatCode="_ * #,##0_ ;_ * \-#,##0_ ;_ * &quot;-&quot;??_ ;_ @_ "/>
    <numFmt numFmtId="181" formatCode="0.0000_ "/>
    <numFmt numFmtId="182" formatCode="0.000"/>
  </numFmts>
  <fonts count="15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2"/>
      <charset val="134"/>
      <scheme val="minor"/>
    </font>
    <font>
      <sz val="10"/>
      <name val="Times New Roman"/>
      <family val="1"/>
    </font>
    <font>
      <sz val="9"/>
      <name val="宋体"/>
      <family val="3"/>
      <charset val="134"/>
    </font>
    <font>
      <sz val="12"/>
      <name val="Times New Roman"/>
      <family val="1"/>
    </font>
    <font>
      <sz val="12"/>
      <color rgb="FFFF0000"/>
      <name val="宋体"/>
      <family val="3"/>
      <charset val="134"/>
    </font>
    <font>
      <sz val="12"/>
      <color theme="3"/>
      <name val="宋体"/>
      <family val="3"/>
      <charset val="134"/>
    </font>
    <font>
      <sz val="10"/>
      <color theme="1"/>
      <name val="宋体"/>
      <family val="2"/>
      <charset val="134"/>
      <scheme val="minor"/>
    </font>
    <font>
      <sz val="9"/>
      <color theme="1"/>
      <name val="宋体"/>
      <family val="2"/>
      <charset val="134"/>
      <scheme val="minor"/>
    </font>
    <font>
      <sz val="14"/>
      <color theme="1"/>
      <name val="宋体"/>
      <family val="2"/>
      <charset val="134"/>
      <scheme val="minor"/>
    </font>
    <font>
      <sz val="14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7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/>
    <xf numFmtId="0" fontId="7" fillId="0" borderId="0"/>
    <xf numFmtId="0" fontId="2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</cellStyleXfs>
  <cellXfs count="98">
    <xf numFmtId="0" fontId="0" fillId="0" borderId="0" xfId="0">
      <alignment vertical="center"/>
    </xf>
    <xf numFmtId="0" fontId="5" fillId="0" borderId="0" xfId="2" applyFont="1"/>
    <xf numFmtId="0" fontId="3" fillId="0" borderId="1" xfId="2" applyFont="1" applyBorder="1" applyAlignment="1">
      <alignment horizontal="center"/>
    </xf>
    <xf numFmtId="0" fontId="5" fillId="0" borderId="1" xfId="2" applyFont="1" applyBorder="1" applyAlignment="1">
      <alignment horizontal="center"/>
    </xf>
    <xf numFmtId="0" fontId="5" fillId="0" borderId="1" xfId="2" applyFont="1" applyBorder="1"/>
    <xf numFmtId="177" fontId="5" fillId="0" borderId="1" xfId="2" applyNumberFormat="1" applyFont="1" applyBorder="1"/>
    <xf numFmtId="0" fontId="7" fillId="0" borderId="0" xfId="3"/>
    <xf numFmtId="177" fontId="5" fillId="0" borderId="0" xfId="2" applyNumberFormat="1" applyFont="1"/>
    <xf numFmtId="0" fontId="2" fillId="0" borderId="0" xfId="4" applyFont="1">
      <alignment vertical="center"/>
    </xf>
    <xf numFmtId="0" fontId="2" fillId="0" borderId="0" xfId="4" applyFont="1" applyAlignment="1">
      <alignment horizontal="center" vertical="center"/>
    </xf>
    <xf numFmtId="0" fontId="2" fillId="0" borderId="0" xfId="4">
      <alignment vertical="center"/>
    </xf>
    <xf numFmtId="0" fontId="2" fillId="0" borderId="0" xfId="4" applyAlignment="1">
      <alignment horizontal="center" vertical="center"/>
    </xf>
    <xf numFmtId="0" fontId="2" fillId="2" borderId="0" xfId="4" applyFont="1" applyFill="1">
      <alignment vertical="center"/>
    </xf>
    <xf numFmtId="10" fontId="2" fillId="0" borderId="0" xfId="1" applyNumberFormat="1" applyFont="1">
      <alignment vertical="center"/>
    </xf>
    <xf numFmtId="0" fontId="2" fillId="3" borderId="0" xfId="4" applyFill="1">
      <alignment vertical="center"/>
    </xf>
    <xf numFmtId="0" fontId="8" fillId="0" borderId="0" xfId="4" applyFont="1">
      <alignment vertical="center"/>
    </xf>
    <xf numFmtId="0" fontId="2" fillId="0" borderId="1" xfId="4" applyBorder="1">
      <alignment vertical="center"/>
    </xf>
    <xf numFmtId="0" fontId="2" fillId="0" borderId="1" xfId="4" applyBorder="1" applyAlignment="1">
      <alignment horizontal="center" vertical="center"/>
    </xf>
    <xf numFmtId="9" fontId="2" fillId="0" borderId="0" xfId="1" applyFont="1">
      <alignment vertical="center"/>
    </xf>
    <xf numFmtId="0" fontId="9" fillId="2" borderId="0" xfId="4" applyFont="1" applyFill="1">
      <alignment vertical="center"/>
    </xf>
    <xf numFmtId="0" fontId="8" fillId="0" borderId="1" xfId="4" applyFont="1" applyBorder="1">
      <alignment vertical="center"/>
    </xf>
    <xf numFmtId="0" fontId="9" fillId="2" borderId="1" xfId="4" applyFont="1" applyFill="1" applyBorder="1">
      <alignment vertical="center"/>
    </xf>
    <xf numFmtId="0" fontId="2" fillId="4" borderId="0" xfId="4" applyFill="1">
      <alignment vertical="center"/>
    </xf>
    <xf numFmtId="0" fontId="2" fillId="2" borderId="0" xfId="4" applyFill="1">
      <alignment vertical="center"/>
    </xf>
    <xf numFmtId="0" fontId="9" fillId="2" borderId="2" xfId="4" applyFont="1" applyFill="1" applyBorder="1">
      <alignment vertical="center"/>
    </xf>
    <xf numFmtId="58" fontId="2" fillId="0" borderId="0" xfId="4" quotePrefix="1" applyNumberFormat="1">
      <alignment vertical="center"/>
    </xf>
    <xf numFmtId="0" fontId="2" fillId="0" borderId="0" xfId="4" quotePrefix="1">
      <alignment vertical="center"/>
    </xf>
    <xf numFmtId="178" fontId="2" fillId="0" borderId="0" xfId="1" applyNumberFormat="1" applyFont="1">
      <alignment vertical="center"/>
    </xf>
    <xf numFmtId="43" fontId="3" fillId="0" borderId="0" xfId="5" applyFont="1">
      <alignment vertical="center"/>
    </xf>
    <xf numFmtId="0" fontId="2" fillId="0" borderId="0" xfId="4" applyProtection="1">
      <alignment vertical="center"/>
      <protection locked="0"/>
    </xf>
    <xf numFmtId="0" fontId="2" fillId="2" borderId="0" xfId="4" applyFill="1" applyProtection="1">
      <alignment vertical="center"/>
      <protection locked="0"/>
    </xf>
    <xf numFmtId="0" fontId="2" fillId="2" borderId="0" xfId="4" applyFont="1" applyFill="1" applyProtection="1">
      <alignment vertical="center"/>
      <protection locked="0"/>
    </xf>
    <xf numFmtId="9" fontId="2" fillId="0" borderId="0" xfId="1" applyFont="1" applyProtection="1">
      <alignment vertical="center"/>
      <protection locked="0"/>
    </xf>
    <xf numFmtId="10" fontId="2" fillId="0" borderId="0" xfId="1" applyNumberFormat="1" applyFont="1" applyProtection="1">
      <alignment vertical="center"/>
      <protection locked="0"/>
    </xf>
    <xf numFmtId="0" fontId="8" fillId="0" borderId="0" xfId="4" applyFont="1" applyProtection="1">
      <alignment vertical="center"/>
      <protection locked="0"/>
    </xf>
    <xf numFmtId="0" fontId="9" fillId="2" borderId="2" xfId="4" applyFont="1" applyFill="1" applyBorder="1" applyProtection="1">
      <alignment vertical="center"/>
      <protection locked="0"/>
    </xf>
    <xf numFmtId="0" fontId="2" fillId="4" borderId="0" xfId="4" applyFill="1" applyProtection="1">
      <alignment vertical="center"/>
      <protection locked="0"/>
    </xf>
    <xf numFmtId="0" fontId="9" fillId="2" borderId="0" xfId="4" applyFont="1" applyFill="1" applyProtection="1">
      <alignment vertical="center"/>
      <protection locked="0"/>
    </xf>
    <xf numFmtId="0" fontId="8" fillId="0" borderId="1" xfId="4" applyFont="1" applyBorder="1" applyProtection="1">
      <alignment vertical="center"/>
      <protection locked="0"/>
    </xf>
    <xf numFmtId="0" fontId="9" fillId="2" borderId="1" xfId="4" applyFont="1" applyFill="1" applyBorder="1" applyProtection="1">
      <alignment vertical="center"/>
      <protection locked="0"/>
    </xf>
    <xf numFmtId="58" fontId="2" fillId="0" borderId="0" xfId="4" quotePrefix="1" applyNumberFormat="1" applyProtection="1">
      <alignment vertical="center"/>
      <protection locked="0"/>
    </xf>
    <xf numFmtId="0" fontId="2" fillId="0" borderId="0" xfId="4" quotePrefix="1" applyProtection="1">
      <alignment vertical="center"/>
      <protection locked="0"/>
    </xf>
    <xf numFmtId="0" fontId="2" fillId="3" borderId="0" xfId="4" applyFill="1" applyProtection="1">
      <alignment vertical="center"/>
      <protection locked="0"/>
    </xf>
    <xf numFmtId="43" fontId="3" fillId="0" borderId="0" xfId="5" applyFont="1" applyProtection="1">
      <alignment vertical="center"/>
      <protection locked="0"/>
    </xf>
    <xf numFmtId="0" fontId="2" fillId="0" borderId="3" xfId="4" applyFont="1" applyBorder="1" applyProtection="1">
      <alignment vertical="center"/>
    </xf>
    <xf numFmtId="0" fontId="2" fillId="0" borderId="4" xfId="4" applyFont="1" applyBorder="1" applyAlignment="1" applyProtection="1">
      <alignment horizontal="center" vertical="center"/>
    </xf>
    <xf numFmtId="0" fontId="2" fillId="0" borderId="5" xfId="4" applyFont="1" applyBorder="1" applyProtection="1">
      <alignment vertical="center"/>
    </xf>
    <xf numFmtId="0" fontId="2" fillId="0" borderId="6" xfId="4" applyBorder="1" applyAlignment="1" applyProtection="1">
      <alignment horizontal="center" vertical="center"/>
    </xf>
    <xf numFmtId="0" fontId="2" fillId="0" borderId="6" xfId="4" applyFont="1" applyBorder="1" applyAlignment="1" applyProtection="1">
      <alignment horizontal="center" vertical="center"/>
    </xf>
    <xf numFmtId="0" fontId="2" fillId="0" borderId="5" xfId="4" applyBorder="1" applyProtection="1">
      <alignment vertical="center"/>
    </xf>
    <xf numFmtId="0" fontId="2" fillId="0" borderId="7" xfId="4" applyBorder="1" applyProtection="1">
      <alignment vertical="center"/>
    </xf>
    <xf numFmtId="0" fontId="2" fillId="0" borderId="8" xfId="4" applyBorder="1" applyAlignment="1" applyProtection="1">
      <alignment horizontal="center" vertical="center"/>
    </xf>
    <xf numFmtId="0" fontId="2" fillId="0" borderId="0" xfId="4" applyFill="1">
      <alignment vertical="center"/>
    </xf>
    <xf numFmtId="43" fontId="0" fillId="0" borderId="0" xfId="0" applyNumberFormat="1">
      <alignment vertical="center"/>
    </xf>
    <xf numFmtId="0" fontId="2" fillId="5" borderId="3" xfId="4" applyFont="1" applyFill="1" applyBorder="1" applyProtection="1">
      <alignment vertical="center"/>
    </xf>
    <xf numFmtId="0" fontId="2" fillId="5" borderId="4" xfId="4" applyFont="1" applyFill="1" applyBorder="1" applyAlignment="1" applyProtection="1">
      <alignment horizontal="center" vertical="center"/>
    </xf>
    <xf numFmtId="0" fontId="2" fillId="5" borderId="5" xfId="4" applyFont="1" applyFill="1" applyBorder="1" applyProtection="1">
      <alignment vertical="center"/>
    </xf>
    <xf numFmtId="0" fontId="2" fillId="5" borderId="6" xfId="4" applyFill="1" applyBorder="1" applyAlignment="1" applyProtection="1">
      <alignment horizontal="center" vertical="center"/>
    </xf>
    <xf numFmtId="0" fontId="2" fillId="5" borderId="6" xfId="4" applyFont="1" applyFill="1" applyBorder="1" applyAlignment="1" applyProtection="1">
      <alignment horizontal="center" vertical="center"/>
    </xf>
    <xf numFmtId="0" fontId="2" fillId="5" borderId="5" xfId="4" applyFill="1" applyBorder="1" applyProtection="1">
      <alignment vertical="center"/>
    </xf>
    <xf numFmtId="0" fontId="2" fillId="5" borderId="7" xfId="4" applyFill="1" applyBorder="1" applyProtection="1">
      <alignment vertical="center"/>
    </xf>
    <xf numFmtId="0" fontId="2" fillId="5" borderId="8" xfId="4" applyFill="1" applyBorder="1" applyAlignment="1" applyProtection="1">
      <alignment horizontal="center" vertical="center"/>
    </xf>
    <xf numFmtId="43" fontId="3" fillId="6" borderId="0" xfId="5" applyFont="1" applyFill="1">
      <alignment vertical="center"/>
    </xf>
    <xf numFmtId="43" fontId="3" fillId="2" borderId="0" xfId="5" applyFont="1" applyFill="1">
      <alignment vertical="center"/>
    </xf>
    <xf numFmtId="0" fontId="3" fillId="6" borderId="0" xfId="4" applyFont="1" applyFill="1">
      <alignment vertical="center"/>
    </xf>
    <xf numFmtId="43" fontId="3" fillId="6" borderId="0" xfId="4" applyNumberFormat="1" applyFont="1" applyFill="1">
      <alignment vertical="center"/>
    </xf>
    <xf numFmtId="0" fontId="8" fillId="0" borderId="0" xfId="4" applyFont="1" applyAlignment="1">
      <alignment horizontal="right" vertical="center"/>
    </xf>
    <xf numFmtId="9" fontId="8" fillId="0" borderId="0" xfId="1" applyFont="1" applyAlignment="1">
      <alignment horizontal="right" vertical="center"/>
    </xf>
    <xf numFmtId="10" fontId="8" fillId="0" borderId="0" xfId="1" applyNumberFormat="1" applyFont="1" applyAlignment="1">
      <alignment horizontal="right" vertical="center"/>
    </xf>
    <xf numFmtId="43" fontId="8" fillId="0" borderId="0" xfId="5" applyFont="1" applyAlignment="1">
      <alignment horizontal="right" vertical="center"/>
    </xf>
    <xf numFmtId="179" fontId="8" fillId="0" borderId="0" xfId="4" applyNumberFormat="1" applyFont="1" applyAlignment="1">
      <alignment horizontal="right" vertical="center"/>
    </xf>
    <xf numFmtId="0" fontId="10" fillId="0" borderId="0" xfId="0" applyFont="1">
      <alignment vertical="center"/>
    </xf>
    <xf numFmtId="180" fontId="10" fillId="0" borderId="0" xfId="5" applyNumberFormat="1" applyFont="1">
      <alignment vertical="center"/>
    </xf>
    <xf numFmtId="180" fontId="10" fillId="0" borderId="0" xfId="0" applyNumberFormat="1" applyFont="1">
      <alignment vertical="center"/>
    </xf>
    <xf numFmtId="0" fontId="10" fillId="7" borderId="0" xfId="0" applyFont="1" applyFill="1">
      <alignment vertical="center"/>
    </xf>
    <xf numFmtId="180" fontId="10" fillId="7" borderId="0" xfId="5" applyNumberFormat="1" applyFont="1" applyFill="1">
      <alignment vertical="center"/>
    </xf>
    <xf numFmtId="180" fontId="10" fillId="7" borderId="0" xfId="0" applyNumberFormat="1" applyFont="1" applyFill="1">
      <alignment vertical="center"/>
    </xf>
    <xf numFmtId="43" fontId="11" fillId="0" borderId="0" xfId="5" applyFont="1">
      <alignment vertical="center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10" fillId="2" borderId="0" xfId="0" applyFont="1" applyFill="1">
      <alignment vertical="center"/>
    </xf>
    <xf numFmtId="180" fontId="10" fillId="2" borderId="0" xfId="0" applyNumberFormat="1" applyFont="1" applyFill="1">
      <alignment vertical="center"/>
    </xf>
    <xf numFmtId="10" fontId="5" fillId="0" borderId="0" xfId="1" applyNumberFormat="1" applyFont="1" applyAlignment="1"/>
    <xf numFmtId="181" fontId="5" fillId="0" borderId="0" xfId="2" applyNumberFormat="1" applyFont="1"/>
    <xf numFmtId="0" fontId="3" fillId="0" borderId="0" xfId="2" applyFont="1"/>
    <xf numFmtId="0" fontId="5" fillId="0" borderId="0" xfId="2" quotePrefix="1" applyFont="1"/>
    <xf numFmtId="0" fontId="14" fillId="2" borderId="0" xfId="2" applyFont="1" applyFill="1"/>
    <xf numFmtId="176" fontId="10" fillId="0" borderId="0" xfId="6" applyFont="1">
      <alignment vertical="center"/>
    </xf>
    <xf numFmtId="176" fontId="10" fillId="0" borderId="0" xfId="0" applyNumberFormat="1" applyFont="1">
      <alignment vertical="center"/>
    </xf>
    <xf numFmtId="43" fontId="10" fillId="0" borderId="0" xfId="5" applyFont="1">
      <alignment vertical="center"/>
    </xf>
    <xf numFmtId="43" fontId="10" fillId="0" borderId="0" xfId="0" applyNumberFormat="1" applyFont="1">
      <alignment vertical="center"/>
    </xf>
    <xf numFmtId="182" fontId="10" fillId="2" borderId="0" xfId="0" applyNumberFormat="1" applyFont="1" applyFill="1">
      <alignment vertical="center"/>
    </xf>
    <xf numFmtId="0" fontId="10" fillId="0" borderId="0" xfId="0" applyFont="1" applyAlignment="1">
      <alignment horizontal="left" vertical="center" indent="1"/>
    </xf>
    <xf numFmtId="43" fontId="10" fillId="2" borderId="0" xfId="5" applyFont="1" applyFill="1">
      <alignment vertical="center"/>
    </xf>
    <xf numFmtId="43" fontId="10" fillId="0" borderId="9" xfId="5" applyFont="1" applyBorder="1">
      <alignment vertical="center"/>
    </xf>
    <xf numFmtId="43" fontId="10" fillId="0" borderId="0" xfId="5" applyFont="1" applyBorder="1">
      <alignment vertical="center"/>
    </xf>
    <xf numFmtId="0" fontId="3" fillId="0" borderId="1" xfId="2" applyFont="1" applyBorder="1" applyAlignment="1">
      <alignment horizontal="center"/>
    </xf>
    <xf numFmtId="0" fontId="5" fillId="0" borderId="1" xfId="2" applyFont="1" applyBorder="1" applyAlignment="1">
      <alignment horizontal="center"/>
    </xf>
  </cellXfs>
  <cellStyles count="7">
    <cellStyle name="Normal_Book3" xfId="3"/>
    <cellStyle name="百分比" xfId="1" builtinId="5"/>
    <cellStyle name="常规" xfId="0" builtinId="0"/>
    <cellStyle name="常规 2" xfId="4"/>
    <cellStyle name="常规_中国人寿保险业经验生命表的两个版本" xfId="2"/>
    <cellStyle name="货币" xfId="6" builtinId="4"/>
    <cellStyle name="千位分隔" xfId="5" builtin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1512273590219"/>
          <c:y val="7.7135193739222133E-2"/>
          <c:w val="0.80778780743377565"/>
          <c:h val="0.79063573582702651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'CL03'!$D$6:$D$41</c:f>
              <c:numCache>
                <c:formatCode>0.000000</c:formatCode>
                <c:ptCount val="36"/>
                <c:pt idx="0">
                  <c:v>6.2699999999999995E-4</c:v>
                </c:pt>
                <c:pt idx="1">
                  <c:v>5.2499999999999997E-4</c:v>
                </c:pt>
                <c:pt idx="2">
                  <c:v>4.3399999999999998E-4</c:v>
                </c:pt>
                <c:pt idx="3">
                  <c:v>3.6200000000000002E-4</c:v>
                </c:pt>
                <c:pt idx="4">
                  <c:v>3.1100000000000002E-4</c:v>
                </c:pt>
                <c:pt idx="5">
                  <c:v>2.81E-4</c:v>
                </c:pt>
                <c:pt idx="6">
                  <c:v>2.6899999999999998E-4</c:v>
                </c:pt>
                <c:pt idx="7">
                  <c:v>2.6800000000000001E-4</c:v>
                </c:pt>
                <c:pt idx="8">
                  <c:v>2.7E-4</c:v>
                </c:pt>
                <c:pt idx="9">
                  <c:v>2.7099999999999997E-4</c:v>
                </c:pt>
                <c:pt idx="10">
                  <c:v>2.72E-4</c:v>
                </c:pt>
                <c:pt idx="11">
                  <c:v>2.7099999999999997E-4</c:v>
                </c:pt>
                <c:pt idx="12">
                  <c:v>2.72E-4</c:v>
                </c:pt>
                <c:pt idx="13">
                  <c:v>2.7799999999999998E-4</c:v>
                </c:pt>
                <c:pt idx="14">
                  <c:v>2.92E-4</c:v>
                </c:pt>
                <c:pt idx="15">
                  <c:v>3.1599999999999998E-4</c:v>
                </c:pt>
                <c:pt idx="16">
                  <c:v>3.5100000000000002E-4</c:v>
                </c:pt>
                <c:pt idx="17">
                  <c:v>3.9599999999999998E-4</c:v>
                </c:pt>
                <c:pt idx="18">
                  <c:v>4.46E-4</c:v>
                </c:pt>
                <c:pt idx="19">
                  <c:v>4.9700000000000005E-4</c:v>
                </c:pt>
                <c:pt idx="20">
                  <c:v>5.4000000000000001E-4</c:v>
                </c:pt>
                <c:pt idx="21">
                  <c:v>5.7499999999999999E-4</c:v>
                </c:pt>
                <c:pt idx="22">
                  <c:v>6.0099999999999997E-4</c:v>
                </c:pt>
                <c:pt idx="23">
                  <c:v>6.2299999999999996E-4</c:v>
                </c:pt>
                <c:pt idx="24">
                  <c:v>6.4300000000000002E-4</c:v>
                </c:pt>
                <c:pt idx="25">
                  <c:v>6.6E-4</c:v>
                </c:pt>
                <c:pt idx="26">
                  <c:v>6.7599999999999995E-4</c:v>
                </c:pt>
                <c:pt idx="27">
                  <c:v>6.9300000000000004E-4</c:v>
                </c:pt>
                <c:pt idx="28">
                  <c:v>7.1199999999999996E-4</c:v>
                </c:pt>
                <c:pt idx="29">
                  <c:v>7.3399999999999995E-4</c:v>
                </c:pt>
                <c:pt idx="30">
                  <c:v>7.5900000000000002E-4</c:v>
                </c:pt>
                <c:pt idx="31">
                  <c:v>7.8799999999999996E-4</c:v>
                </c:pt>
                <c:pt idx="32">
                  <c:v>8.1999999999999998E-4</c:v>
                </c:pt>
                <c:pt idx="33">
                  <c:v>8.5499999999999997E-4</c:v>
                </c:pt>
                <c:pt idx="34">
                  <c:v>8.9300000000000002E-4</c:v>
                </c:pt>
                <c:pt idx="35">
                  <c:v>9.3599999999999998E-4</c:v>
                </c:pt>
              </c:numCache>
            </c:numRef>
          </c:val>
          <c:smooth val="0"/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'CL03'!$E$6:$E$41</c:f>
              <c:numCache>
                <c:formatCode>0.000000</c:formatCode>
                <c:ptCount val="36"/>
                <c:pt idx="0">
                  <c:v>5.7499999999999999E-4</c:v>
                </c:pt>
                <c:pt idx="1">
                  <c:v>4.66E-4</c:v>
                </c:pt>
                <c:pt idx="2">
                  <c:v>3.6900000000000002E-4</c:v>
                </c:pt>
                <c:pt idx="3">
                  <c:v>2.9E-4</c:v>
                </c:pt>
                <c:pt idx="4">
                  <c:v>2.32E-4</c:v>
                </c:pt>
                <c:pt idx="5">
                  <c:v>1.95E-4</c:v>
                </c:pt>
                <c:pt idx="6">
                  <c:v>1.75E-4</c:v>
                </c:pt>
                <c:pt idx="7">
                  <c:v>1.64E-4</c:v>
                </c:pt>
                <c:pt idx="8">
                  <c:v>1.5799999999999999E-4</c:v>
                </c:pt>
                <c:pt idx="9">
                  <c:v>1.5200000000000001E-4</c:v>
                </c:pt>
                <c:pt idx="10">
                  <c:v>1.47E-4</c:v>
                </c:pt>
                <c:pt idx="11">
                  <c:v>1.4300000000000001E-4</c:v>
                </c:pt>
                <c:pt idx="12">
                  <c:v>1.4300000000000001E-4</c:v>
                </c:pt>
                <c:pt idx="13">
                  <c:v>1.47E-4</c:v>
                </c:pt>
                <c:pt idx="14">
                  <c:v>1.56E-4</c:v>
                </c:pt>
                <c:pt idx="15">
                  <c:v>1.6699999999999999E-4</c:v>
                </c:pt>
                <c:pt idx="16">
                  <c:v>1.8100000000000001E-4</c:v>
                </c:pt>
                <c:pt idx="17">
                  <c:v>1.9599999999999999E-4</c:v>
                </c:pt>
                <c:pt idx="18">
                  <c:v>2.13E-4</c:v>
                </c:pt>
                <c:pt idx="19">
                  <c:v>2.3000000000000001E-4</c:v>
                </c:pt>
                <c:pt idx="20">
                  <c:v>2.4600000000000002E-4</c:v>
                </c:pt>
                <c:pt idx="21">
                  <c:v>2.61E-4</c:v>
                </c:pt>
                <c:pt idx="22">
                  <c:v>2.7399999999999999E-4</c:v>
                </c:pt>
                <c:pt idx="23">
                  <c:v>2.8499999999999999E-4</c:v>
                </c:pt>
                <c:pt idx="24">
                  <c:v>2.9300000000000002E-4</c:v>
                </c:pt>
                <c:pt idx="25">
                  <c:v>3.01E-4</c:v>
                </c:pt>
                <c:pt idx="26">
                  <c:v>3.0800000000000001E-4</c:v>
                </c:pt>
                <c:pt idx="27">
                  <c:v>3.1599999999999998E-4</c:v>
                </c:pt>
                <c:pt idx="28">
                  <c:v>3.2499999999999999E-4</c:v>
                </c:pt>
                <c:pt idx="29">
                  <c:v>3.3700000000000001E-4</c:v>
                </c:pt>
                <c:pt idx="30">
                  <c:v>3.5100000000000002E-4</c:v>
                </c:pt>
                <c:pt idx="31">
                  <c:v>3.6600000000000001E-4</c:v>
                </c:pt>
                <c:pt idx="32">
                  <c:v>3.8400000000000001E-4</c:v>
                </c:pt>
                <c:pt idx="33">
                  <c:v>4.0200000000000001E-4</c:v>
                </c:pt>
                <c:pt idx="34">
                  <c:v>4.2099999999999999E-4</c:v>
                </c:pt>
                <c:pt idx="35">
                  <c:v>4.4099999999999999E-4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254984"/>
        <c:axId val="514255376"/>
      </c:lineChart>
      <c:catAx>
        <c:axId val="51425498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zh-CN"/>
          </a:p>
        </c:txPr>
        <c:crossAx val="51425537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514255376"/>
        <c:scaling>
          <c:orientation val="minMax"/>
        </c:scaling>
        <c:delete val="0"/>
        <c:axPos val="l"/>
        <c:numFmt formatCode="0.0000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zh-CN"/>
          </a:p>
        </c:txPr>
        <c:crossAx val="51425498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zh-CN"/>
    </a:p>
  </c:txPr>
  <c:printSettings>
    <c:headerFooter alignWithMargins="0"/>
    <c:pageMargins b="1" l="0.75000000000000155" r="0.7500000000000015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134008512243656"/>
          <c:y val="8.3333575537038268E-2"/>
          <c:w val="0.76324219736358068"/>
          <c:h val="0.77976417109657425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'CL03'!$D$6:$D$46</c:f>
              <c:numCache>
                <c:formatCode>0.000000</c:formatCode>
                <c:ptCount val="41"/>
                <c:pt idx="0">
                  <c:v>6.2699999999999995E-4</c:v>
                </c:pt>
                <c:pt idx="1">
                  <c:v>5.2499999999999997E-4</c:v>
                </c:pt>
                <c:pt idx="2">
                  <c:v>4.3399999999999998E-4</c:v>
                </c:pt>
                <c:pt idx="3">
                  <c:v>3.6200000000000002E-4</c:v>
                </c:pt>
                <c:pt idx="4">
                  <c:v>3.1100000000000002E-4</c:v>
                </c:pt>
                <c:pt idx="5">
                  <c:v>2.81E-4</c:v>
                </c:pt>
                <c:pt idx="6">
                  <c:v>2.6899999999999998E-4</c:v>
                </c:pt>
                <c:pt idx="7">
                  <c:v>2.6800000000000001E-4</c:v>
                </c:pt>
                <c:pt idx="8">
                  <c:v>2.7E-4</c:v>
                </c:pt>
                <c:pt idx="9">
                  <c:v>2.7099999999999997E-4</c:v>
                </c:pt>
                <c:pt idx="10">
                  <c:v>2.72E-4</c:v>
                </c:pt>
                <c:pt idx="11">
                  <c:v>2.7099999999999997E-4</c:v>
                </c:pt>
                <c:pt idx="12">
                  <c:v>2.72E-4</c:v>
                </c:pt>
                <c:pt idx="13">
                  <c:v>2.7799999999999998E-4</c:v>
                </c:pt>
                <c:pt idx="14">
                  <c:v>2.92E-4</c:v>
                </c:pt>
                <c:pt idx="15">
                  <c:v>3.1599999999999998E-4</c:v>
                </c:pt>
                <c:pt idx="16">
                  <c:v>3.5100000000000002E-4</c:v>
                </c:pt>
                <c:pt idx="17">
                  <c:v>3.9599999999999998E-4</c:v>
                </c:pt>
                <c:pt idx="18">
                  <c:v>4.46E-4</c:v>
                </c:pt>
                <c:pt idx="19">
                  <c:v>4.9700000000000005E-4</c:v>
                </c:pt>
                <c:pt idx="20">
                  <c:v>5.4000000000000001E-4</c:v>
                </c:pt>
                <c:pt idx="21">
                  <c:v>5.7499999999999999E-4</c:v>
                </c:pt>
                <c:pt idx="22">
                  <c:v>6.0099999999999997E-4</c:v>
                </c:pt>
                <c:pt idx="23">
                  <c:v>6.2299999999999996E-4</c:v>
                </c:pt>
                <c:pt idx="24">
                  <c:v>6.4300000000000002E-4</c:v>
                </c:pt>
                <c:pt idx="25">
                  <c:v>6.6E-4</c:v>
                </c:pt>
                <c:pt idx="26">
                  <c:v>6.7599999999999995E-4</c:v>
                </c:pt>
                <c:pt idx="27">
                  <c:v>6.9300000000000004E-4</c:v>
                </c:pt>
                <c:pt idx="28">
                  <c:v>7.1199999999999996E-4</c:v>
                </c:pt>
                <c:pt idx="29">
                  <c:v>7.3399999999999995E-4</c:v>
                </c:pt>
                <c:pt idx="30">
                  <c:v>7.5900000000000002E-4</c:v>
                </c:pt>
                <c:pt idx="31">
                  <c:v>7.8799999999999996E-4</c:v>
                </c:pt>
                <c:pt idx="32">
                  <c:v>8.1999999999999998E-4</c:v>
                </c:pt>
                <c:pt idx="33">
                  <c:v>8.5499999999999997E-4</c:v>
                </c:pt>
                <c:pt idx="34">
                  <c:v>8.9300000000000002E-4</c:v>
                </c:pt>
                <c:pt idx="35">
                  <c:v>9.3599999999999998E-4</c:v>
                </c:pt>
                <c:pt idx="36">
                  <c:v>9.8499999999999998E-4</c:v>
                </c:pt>
                <c:pt idx="37">
                  <c:v>1.0430000000000001E-3</c:v>
                </c:pt>
                <c:pt idx="38">
                  <c:v>1.111E-3</c:v>
                </c:pt>
                <c:pt idx="39">
                  <c:v>1.189E-3</c:v>
                </c:pt>
                <c:pt idx="40">
                  <c:v>1.2750000000000001E-3</c:v>
                </c:pt>
              </c:numCache>
            </c:numRef>
          </c:val>
          <c:smooth val="0"/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'CL03'!$H$6:$H$46</c:f>
              <c:numCache>
                <c:formatCode>General</c:formatCode>
                <c:ptCount val="41"/>
                <c:pt idx="0">
                  <c:v>1</c:v>
                </c:pt>
                <c:pt idx="1">
                  <c:v>0.96153846153846145</c:v>
                </c:pt>
                <c:pt idx="2">
                  <c:v>0.92455621301775126</c:v>
                </c:pt>
                <c:pt idx="3">
                  <c:v>0.88899635867091464</c:v>
                </c:pt>
                <c:pt idx="4">
                  <c:v>0.85480419102972549</c:v>
                </c:pt>
                <c:pt idx="5">
                  <c:v>0.82192710675935132</c:v>
                </c:pt>
                <c:pt idx="6">
                  <c:v>0.79031452573014538</c:v>
                </c:pt>
                <c:pt idx="7">
                  <c:v>0.75991781320206275</c:v>
                </c:pt>
                <c:pt idx="8">
                  <c:v>0.73069020500198334</c:v>
                </c:pt>
                <c:pt idx="9">
                  <c:v>0.70258673557883011</c:v>
                </c:pt>
                <c:pt idx="10">
                  <c:v>0.67556416882579817</c:v>
                </c:pt>
                <c:pt idx="11">
                  <c:v>0.64958093156326746</c:v>
                </c:pt>
                <c:pt idx="12">
                  <c:v>0.62459704958006479</c:v>
                </c:pt>
                <c:pt idx="13">
                  <c:v>0.60057408613467766</c:v>
                </c:pt>
                <c:pt idx="14">
                  <c:v>0.57747508282180537</c:v>
                </c:pt>
                <c:pt idx="15">
                  <c:v>0.55526450271327432</c:v>
                </c:pt>
                <c:pt idx="16">
                  <c:v>0.53390817568584059</c:v>
                </c:pt>
                <c:pt idx="17">
                  <c:v>0.5133732458517698</c:v>
                </c:pt>
                <c:pt idx="18">
                  <c:v>0.49362812101131709</c:v>
                </c:pt>
                <c:pt idx="19">
                  <c:v>0.47464242404934331</c:v>
                </c:pt>
                <c:pt idx="20">
                  <c:v>0.45638694620129161</c:v>
                </c:pt>
                <c:pt idx="21">
                  <c:v>0.43883360211662653</c:v>
                </c:pt>
                <c:pt idx="22">
                  <c:v>0.42195538665060239</c:v>
                </c:pt>
                <c:pt idx="23">
                  <c:v>0.40572633331788688</c:v>
                </c:pt>
                <c:pt idx="24">
                  <c:v>0.39012147434412198</c:v>
                </c:pt>
                <c:pt idx="25">
                  <c:v>0.37511680225396343</c:v>
                </c:pt>
                <c:pt idx="26">
                  <c:v>0.36068923293650329</c:v>
                </c:pt>
                <c:pt idx="27">
                  <c:v>0.34681657013125311</c:v>
                </c:pt>
                <c:pt idx="28">
                  <c:v>0.33347747128005106</c:v>
                </c:pt>
                <c:pt idx="29">
                  <c:v>0.32065141469235675</c:v>
                </c:pt>
                <c:pt idx="30">
                  <c:v>0.30831866797341995</c:v>
                </c:pt>
                <c:pt idx="31">
                  <c:v>0.29646025766674994</c:v>
                </c:pt>
                <c:pt idx="32">
                  <c:v>0.28505794006418261</c:v>
                </c:pt>
                <c:pt idx="33">
                  <c:v>0.2740941731386371</c:v>
                </c:pt>
                <c:pt idx="34">
                  <c:v>0.26355208955638182</c:v>
                </c:pt>
                <c:pt idx="35">
                  <c:v>0.2534154707272902</c:v>
                </c:pt>
                <c:pt idx="36">
                  <c:v>0.24366872185316363</c:v>
                </c:pt>
                <c:pt idx="37">
                  <c:v>0.23429684793573424</c:v>
                </c:pt>
                <c:pt idx="38">
                  <c:v>0.22528543070743676</c:v>
                </c:pt>
                <c:pt idx="39">
                  <c:v>0.21662060644945841</c:v>
                </c:pt>
                <c:pt idx="40">
                  <c:v>0.20828904466294076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256160"/>
        <c:axId val="514256552"/>
      </c:lineChart>
      <c:catAx>
        <c:axId val="51425616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zh-CN"/>
          </a:p>
        </c:txPr>
        <c:crossAx val="514256552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514256552"/>
        <c:scaling>
          <c:orientation val="minMax"/>
        </c:scaling>
        <c:delete val="0"/>
        <c:axPos val="l"/>
        <c:numFmt formatCode="0.0000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zh-CN"/>
          </a:p>
        </c:txPr>
        <c:crossAx val="51425616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zh-CN"/>
    </a:p>
  </c:txPr>
  <c:printSettings>
    <c:headerFooter alignWithMargins="0"/>
    <c:pageMargins b="1" l="0.75000000000000155" r="0.7500000000000015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59047893558875"/>
          <c:y val="8.3601286173633715E-2"/>
          <c:w val="0.81057355900412031"/>
          <c:h val="0.77170418006430863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exp"/>
            <c:dispRSqr val="1"/>
            <c:dispEq val="1"/>
            <c:trendlineLbl>
              <c:layout>
                <c:manualLayout>
                  <c:x val="-0.34597733637929262"/>
                  <c:y val="-7.2132398241216852E-2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zh-CN"/>
                </a:p>
              </c:txPr>
            </c:trendlineLbl>
          </c:trendline>
          <c:val>
            <c:numRef>
              <c:f>'CL03'!$C$71:$C$94</c:f>
              <c:numCache>
                <c:formatCode>0.000000</c:formatCode>
                <c:ptCount val="24"/>
                <c:pt idx="0">
                  <c:v>1.0148000000000001E-2</c:v>
                </c:pt>
                <c:pt idx="1">
                  <c:v>1.1376000000000001E-2</c:v>
                </c:pt>
                <c:pt idx="2">
                  <c:v>1.2760000000000001E-2</c:v>
                </c:pt>
                <c:pt idx="3">
                  <c:v>1.4316000000000001E-2</c:v>
                </c:pt>
                <c:pt idx="4">
                  <c:v>1.6066E-2</c:v>
                </c:pt>
                <c:pt idx="5">
                  <c:v>1.8033E-2</c:v>
                </c:pt>
                <c:pt idx="6">
                  <c:v>2.0240999999999999E-2</c:v>
                </c:pt>
                <c:pt idx="7">
                  <c:v>2.2714999999999999E-2</c:v>
                </c:pt>
                <c:pt idx="8">
                  <c:v>2.5479000000000002E-2</c:v>
                </c:pt>
                <c:pt idx="9">
                  <c:v>2.8561E-2</c:v>
                </c:pt>
                <c:pt idx="10">
                  <c:v>3.1988999999999997E-2</c:v>
                </c:pt>
                <c:pt idx="11">
                  <c:v>3.5796000000000001E-2</c:v>
                </c:pt>
                <c:pt idx="12">
                  <c:v>4.0025999999999999E-2</c:v>
                </c:pt>
                <c:pt idx="13">
                  <c:v>4.4726000000000002E-2</c:v>
                </c:pt>
                <c:pt idx="14">
                  <c:v>4.9953999999999998E-2</c:v>
                </c:pt>
                <c:pt idx="15">
                  <c:v>5.5773999999999997E-2</c:v>
                </c:pt>
                <c:pt idx="16">
                  <c:v>6.2253000000000003E-2</c:v>
                </c:pt>
                <c:pt idx="17">
                  <c:v>6.9494E-2</c:v>
                </c:pt>
                <c:pt idx="18">
                  <c:v>7.7510999999999997E-2</c:v>
                </c:pt>
                <c:pt idx="19">
                  <c:v>8.6415000000000006E-2</c:v>
                </c:pt>
                <c:pt idx="20">
                  <c:v>9.6294000000000005E-2</c:v>
                </c:pt>
                <c:pt idx="21">
                  <c:v>0.107243</c:v>
                </c:pt>
                <c:pt idx="22">
                  <c:v>0.119364</c:v>
                </c:pt>
                <c:pt idx="23">
                  <c:v>0.13276299999999999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5746192"/>
        <c:axId val="605746584"/>
      </c:lineChart>
      <c:catAx>
        <c:axId val="60574619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zh-CN"/>
          </a:p>
        </c:txPr>
        <c:crossAx val="60574658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605746584"/>
        <c:scaling>
          <c:orientation val="minMax"/>
        </c:scaling>
        <c:delete val="0"/>
        <c:axPos val="l"/>
        <c:numFmt formatCode="0.0000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zh-CN"/>
          </a:p>
        </c:txPr>
        <c:crossAx val="605746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zh-CN"/>
    </a:p>
  </c:txPr>
  <c:printSettings>
    <c:headerFooter alignWithMargins="0"/>
    <c:pageMargins b="1" l="0.75000000000000155" r="0.7500000000000015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'CL03'!$I$31:$I$71</c:f>
              <c:numCache>
                <c:formatCode>General</c:formatCode>
                <c:ptCount val="41"/>
                <c:pt idx="0">
                  <c:v>7.1480670795520014E-3</c:v>
                </c:pt>
                <c:pt idx="1">
                  <c:v>7.4800820285956301E-3</c:v>
                </c:pt>
                <c:pt idx="2">
                  <c:v>7.8596829309964134E-3</c:v>
                </c:pt>
                <c:pt idx="3">
                  <c:v>8.3000592488109582E-3</c:v>
                </c:pt>
                <c:pt idx="4">
                  <c:v>8.8083020036380244E-3</c:v>
                </c:pt>
                <c:pt idx="5">
                  <c:v>9.3881188665949303E-3</c:v>
                </c:pt>
                <c:pt idx="6">
                  <c:v>1.0036387211258145E-2</c:v>
                </c:pt>
                <c:pt idx="7">
                  <c:v>1.0746517392916561E-2</c:v>
                </c:pt>
                <c:pt idx="8">
                  <c:v>1.1511988400149985E-2</c:v>
                </c:pt>
                <c:pt idx="9">
                  <c:v>1.2337230051394334E-2</c:v>
                </c:pt>
                <c:pt idx="10">
                  <c:v>1.3224237540089829E-2</c:v>
                </c:pt>
                <c:pt idx="11">
                  <c:v>1.4179087266273758E-2</c:v>
                </c:pt>
                <c:pt idx="12">
                  <c:v>1.5212395251658493E-2</c:v>
                </c:pt>
                <c:pt idx="13">
                  <c:v>1.6334841982438928E-2</c:v>
                </c:pt>
                <c:pt idx="14">
                  <c:v>1.7554833664135183E-2</c:v>
                </c:pt>
                <c:pt idx="15">
                  <c:v>1.8877393994168365E-2</c:v>
                </c:pt>
                <c:pt idx="16">
                  <c:v>2.0306674048656104E-2</c:v>
                </c:pt>
                <c:pt idx="17">
                  <c:v>2.1846569097919041E-2</c:v>
                </c:pt>
                <c:pt idx="18">
                  <c:v>2.3503391107692086E-2</c:v>
                </c:pt>
                <c:pt idx="19">
                  <c:v>2.5290543865042363E-2</c:v>
                </c:pt>
                <c:pt idx="20">
                  <c:v>2.7233369191629029E-2</c:v>
                </c:pt>
                <c:pt idx="21">
                  <c:v>2.937472121826866E-2</c:v>
                </c:pt>
                <c:pt idx="22">
                  <c:v>3.1773736491983569E-2</c:v>
                </c:pt>
                <c:pt idx="23">
                  <c:v>3.4504147406581032E-2</c:v>
                </c:pt>
                <c:pt idx="24">
                  <c:v>3.7647585196533995E-2</c:v>
                </c:pt>
                <c:pt idx="25">
                  <c:v>4.1285020186712193E-2</c:v>
                </c:pt>
                <c:pt idx="26">
                  <c:v>4.5490937261395067E-2</c:v>
                </c:pt>
                <c:pt idx="27">
                  <c:v>5.0334124444287344E-2</c:v>
                </c:pt>
                <c:pt idx="28">
                  <c:v>5.5873495516934643E-2</c:v>
                </c:pt>
                <c:pt idx="29">
                  <c:v>6.2163670810440129E-2</c:v>
                </c:pt>
                <c:pt idx="30">
                  <c:v>6.9247738475970794E-2</c:v>
                </c:pt>
                <c:pt idx="31">
                  <c:v>7.7152449564699868E-2</c:v>
                </c:pt>
                <c:pt idx="32">
                  <c:v>8.5893829835182525E-2</c:v>
                </c:pt>
                <c:pt idx="33">
                  <c:v>9.5480617673185109E-2</c:v>
                </c:pt>
                <c:pt idx="34">
                  <c:v>0.10592696876126483</c:v>
                </c:pt>
                <c:pt idx="35">
                  <c:v>0.11726483443843046</c:v>
                </c:pt>
                <c:pt idx="36">
                  <c:v>0.12955138369603836</c:v>
                </c:pt>
                <c:pt idx="37">
                  <c:v>0.14287049790738393</c:v>
                </c:pt>
                <c:pt idx="38">
                  <c:v>0.1573210871357541</c:v>
                </c:pt>
                <c:pt idx="39">
                  <c:v>0.17300323641595988</c:v>
                </c:pt>
                <c:pt idx="40">
                  <c:v>0.19000424728697451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val>
            <c:numRef>
              <c:f>'CL03'!$J$31:$J$71</c:f>
              <c:numCache>
                <c:formatCode>General</c:formatCode>
                <c:ptCount val="41"/>
                <c:pt idx="0">
                  <c:v>1.1225694032742995E-2</c:v>
                </c:pt>
                <c:pt idx="1">
                  <c:v>1.1862001951582008E-2</c:v>
                </c:pt>
                <c:pt idx="2">
                  <c:v>1.2574637108359545E-2</c:v>
                </c:pt>
                <c:pt idx="3">
                  <c:v>1.3372077916887526E-2</c:v>
                </c:pt>
                <c:pt idx="4">
                  <c:v>1.4254669263895016E-2</c:v>
                </c:pt>
                <c:pt idx="5">
                  <c:v>1.5222525029868759E-2</c:v>
                </c:pt>
                <c:pt idx="6">
                  <c:v>1.6275721225825907E-2</c:v>
                </c:pt>
                <c:pt idx="7">
                  <c:v>1.7418657368858372E-2</c:v>
                </c:pt>
                <c:pt idx="8">
                  <c:v>1.8659006801544011E-2</c:v>
                </c:pt>
                <c:pt idx="9">
                  <c:v>2.001590157179425E-2</c:v>
                </c:pt>
                <c:pt idx="10">
                  <c:v>2.1499435785802015E-2</c:v>
                </c:pt>
                <c:pt idx="11">
                  <c:v>2.3114813465256269E-2</c:v>
                </c:pt>
                <c:pt idx="12">
                  <c:v>2.4862094501135804E-2</c:v>
                </c:pt>
                <c:pt idx="13">
                  <c:v>2.6739461918029908E-2</c:v>
                </c:pt>
                <c:pt idx="14">
                  <c:v>2.8747880055154416E-2</c:v>
                </c:pt>
                <c:pt idx="15">
                  <c:v>3.0902606776399312E-2</c:v>
                </c:pt>
                <c:pt idx="16">
                  <c:v>3.3242929042852185E-2</c:v>
                </c:pt>
                <c:pt idx="17">
                  <c:v>3.5832518940404769E-2</c:v>
                </c:pt>
                <c:pt idx="18">
                  <c:v>3.8751279093584945E-2</c:v>
                </c:pt>
                <c:pt idx="19">
                  <c:v>4.2085975228633443E-2</c:v>
                </c:pt>
                <c:pt idx="20">
                  <c:v>4.5912751374465446E-2</c:v>
                </c:pt>
                <c:pt idx="21">
                  <c:v>5.0289061529527432E-2</c:v>
                </c:pt>
                <c:pt idx="22">
                  <c:v>5.5253429109673173E-2</c:v>
                </c:pt>
                <c:pt idx="23">
                  <c:v>6.0833324503144305E-2</c:v>
                </c:pt>
                <c:pt idx="24">
                  <c:v>6.7059718702059318E-2</c:v>
                </c:pt>
                <c:pt idx="25">
                  <c:v>7.3978966365968582E-2</c:v>
                </c:pt>
                <c:pt idx="26">
                  <c:v>8.1658467583734809E-2</c:v>
                </c:pt>
                <c:pt idx="27">
                  <c:v>9.0189675833153446E-2</c:v>
                </c:pt>
                <c:pt idx="28">
                  <c:v>9.9674394175975303E-2</c:v>
                </c:pt>
                <c:pt idx="29">
                  <c:v>0.110214545962074</c:v>
                </c:pt>
                <c:pt idx="30">
                  <c:v>0.12189113054858822</c:v>
                </c:pt>
                <c:pt idx="31">
                  <c:v>0.13475252097392143</c:v>
                </c:pt>
                <c:pt idx="32">
                  <c:v>0.14881876032451741</c:v>
                </c:pt>
                <c:pt idx="33">
                  <c:v>0.16408699079645489</c:v>
                </c:pt>
                <c:pt idx="34">
                  <c:v>0.18054982730646976</c:v>
                </c:pt>
                <c:pt idx="35">
                  <c:v>0.19821091605977684</c:v>
                </c:pt>
                <c:pt idx="36">
                  <c:v>0.21709224293482193</c:v>
                </c:pt>
                <c:pt idx="37">
                  <c:v>0.2372307342407417</c:v>
                </c:pt>
                <c:pt idx="38">
                  <c:v>0.25866949545035506</c:v>
                </c:pt>
                <c:pt idx="39">
                  <c:v>0.28143907276560126</c:v>
                </c:pt>
                <c:pt idx="40">
                  <c:v>0.30554338766094752</c:v>
                </c:pt>
              </c:numCache>
            </c:numRef>
          </c:val>
          <c:smooth val="0"/>
        </c:ser>
        <c:ser>
          <c:idx val="2"/>
          <c:order val="2"/>
          <c:marker>
            <c:symbol val="none"/>
          </c:marker>
          <c:trendline>
            <c:trendlineType val="exp"/>
            <c:dispRSqr val="1"/>
            <c:dispEq val="1"/>
            <c:trendlineLbl>
              <c:layout>
                <c:manualLayout>
                  <c:x val="-0.19531255468066488"/>
                  <c:y val="9.2163656522627133E-2"/>
                </c:manualLayout>
              </c:layout>
              <c:numFmt formatCode="General" sourceLinked="0"/>
            </c:trendlineLbl>
          </c:trendline>
          <c:val>
            <c:numRef>
              <c:f>'CL03'!$K$31:$K$71</c:f>
              <c:numCache>
                <c:formatCode>General</c:formatCode>
                <c:ptCount val="41"/>
                <c:pt idx="0">
                  <c:v>1.6002047241892092E-2</c:v>
                </c:pt>
                <c:pt idx="1">
                  <c:v>1.696922686768023E-2</c:v>
                </c:pt>
                <c:pt idx="2">
                  <c:v>1.8035300335939711E-2</c:v>
                </c:pt>
                <c:pt idx="3">
                  <c:v>1.92202297944143E-2</c:v>
                </c:pt>
                <c:pt idx="4">
                  <c:v>2.0536344853320024E-2</c:v>
                </c:pt>
                <c:pt idx="5">
                  <c:v>2.1990309723996931E-2</c:v>
                </c:pt>
                <c:pt idx="6">
                  <c:v>2.3581422408708069E-2</c:v>
                </c:pt>
                <c:pt idx="7">
                  <c:v>2.5305382447779298E-2</c:v>
                </c:pt>
                <c:pt idx="8">
                  <c:v>2.7159555537101237E-2</c:v>
                </c:pt>
                <c:pt idx="9">
                  <c:v>2.9156775406503393E-2</c:v>
                </c:pt>
                <c:pt idx="10">
                  <c:v>3.1315302557138228E-2</c:v>
                </c:pt>
                <c:pt idx="11">
                  <c:v>3.3668832083157817E-2</c:v>
                </c:pt>
                <c:pt idx="12">
                  <c:v>3.6265992393996513E-2</c:v>
                </c:pt>
                <c:pt idx="13">
                  <c:v>3.9164715135882315E-2</c:v>
                </c:pt>
                <c:pt idx="14">
                  <c:v>4.2425415062711538E-2</c:v>
                </c:pt>
                <c:pt idx="15">
                  <c:v>4.610420966754978E-2</c:v>
                </c:pt>
                <c:pt idx="16">
                  <c:v>5.0251478662318369E-2</c:v>
                </c:pt>
                <c:pt idx="17">
                  <c:v>5.4912989121700354E-2</c:v>
                </c:pt>
                <c:pt idx="18">
                  <c:v>6.0129616566424474E-2</c:v>
                </c:pt>
                <c:pt idx="19">
                  <c:v>6.5945328588480553E-2</c:v>
                </c:pt>
                <c:pt idx="20">
                  <c:v>7.2406585798294107E-2</c:v>
                </c:pt>
                <c:pt idx="21">
                  <c:v>7.956375404942985E-2</c:v>
                </c:pt>
                <c:pt idx="22">
                  <c:v>8.7472782182966002E-2</c:v>
                </c:pt>
                <c:pt idx="23">
                  <c:v>9.6194989089056049E-2</c:v>
                </c:pt>
                <c:pt idx="24">
                  <c:v>0.10579834133096282</c:v>
                </c:pt>
                <c:pt idx="25">
                  <c:v>0.11635709864608056</c:v>
                </c:pt>
                <c:pt idx="26">
                  <c:v>0.12795075503248485</c:v>
                </c:pt>
                <c:pt idx="27">
                  <c:v>0.1406651650734651</c:v>
                </c:pt>
                <c:pt idx="28">
                  <c:v>0.15458045125947367</c:v>
                </c:pt>
                <c:pt idx="29">
                  <c:v>0.16976610591269528</c:v>
                </c:pt>
                <c:pt idx="30">
                  <c:v>0.18626483901031329</c:v>
                </c:pt>
                <c:pt idx="31">
                  <c:v>0.20408320746804123</c:v>
                </c:pt>
                <c:pt idx="32">
                  <c:v>0.22319353833327527</c:v>
                </c:pt>
                <c:pt idx="33">
                  <c:v>0.24354212310439299</c:v>
                </c:pt>
                <c:pt idx="34">
                  <c:v>0.26506203457062288</c:v>
                </c:pt>
                <c:pt idx="35">
                  <c:v>0.28768607067753227</c:v>
                </c:pt>
                <c:pt idx="36">
                  <c:v>0.31135339433017206</c:v>
                </c:pt>
                <c:pt idx="37">
                  <c:v>0.33598859571100065</c:v>
                </c:pt>
                <c:pt idx="38">
                  <c:v>0.36150892655685768</c:v>
                </c:pt>
                <c:pt idx="39">
                  <c:v>0.38780325089434903</c:v>
                </c:pt>
                <c:pt idx="40">
                  <c:v>0.41472455155062077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5746976"/>
        <c:axId val="224139464"/>
      </c:lineChart>
      <c:catAx>
        <c:axId val="605746976"/>
        <c:scaling>
          <c:orientation val="minMax"/>
        </c:scaling>
        <c:delete val="0"/>
        <c:axPos val="b"/>
        <c:majorTickMark val="out"/>
        <c:minorTickMark val="none"/>
        <c:tickLblPos val="nextTo"/>
        <c:crossAx val="224139464"/>
        <c:crosses val="autoZero"/>
        <c:auto val="1"/>
        <c:lblAlgn val="ctr"/>
        <c:lblOffset val="100"/>
        <c:noMultiLvlLbl val="0"/>
      </c:catAx>
      <c:valAx>
        <c:axId val="224139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057469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50800</xdr:colOff>
      <xdr:row>6</xdr:row>
      <xdr:rowOff>69850</xdr:rowOff>
    </xdr:from>
    <xdr:to>
      <xdr:col>5</xdr:col>
      <xdr:colOff>101600</xdr:colOff>
      <xdr:row>9</xdr:row>
      <xdr:rowOff>95250</xdr:rowOff>
    </xdr:to>
    <xdr:sp macro="[0]!反解毛保费" textlink="">
      <xdr:nvSpPr>
        <xdr:cNvPr id="2" name="流程图: 可选过程 1"/>
        <xdr:cNvSpPr/>
      </xdr:nvSpPr>
      <xdr:spPr>
        <a:xfrm>
          <a:off x="4718050" y="1155700"/>
          <a:ext cx="1279525" cy="56832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50800</xdr:colOff>
      <xdr:row>8</xdr:row>
      <xdr:rowOff>69850</xdr:rowOff>
    </xdr:from>
    <xdr:to>
      <xdr:col>5</xdr:col>
      <xdr:colOff>101600</xdr:colOff>
      <xdr:row>11</xdr:row>
      <xdr:rowOff>0</xdr:rowOff>
    </xdr:to>
    <xdr:sp macro="[0]!反解毛保费" textlink="">
      <xdr:nvSpPr>
        <xdr:cNvPr id="2" name="流程图: 可选过程 1"/>
        <xdr:cNvSpPr/>
      </xdr:nvSpPr>
      <xdr:spPr>
        <a:xfrm>
          <a:off x="3302000" y="1174750"/>
          <a:ext cx="736600" cy="393700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zh-CN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543151</xdr:colOff>
      <xdr:row>9</xdr:row>
      <xdr:rowOff>6577</xdr:rowOff>
    </xdr:from>
    <xdr:to>
      <xdr:col>19</xdr:col>
      <xdr:colOff>343127</xdr:colOff>
      <xdr:row>26</xdr:row>
      <xdr:rowOff>62592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223610</xdr:colOff>
      <xdr:row>0</xdr:row>
      <xdr:rowOff>0</xdr:rowOff>
    </xdr:from>
    <xdr:to>
      <xdr:col>17</xdr:col>
      <xdr:colOff>537935</xdr:colOff>
      <xdr:row>16</xdr:row>
      <xdr:rowOff>188912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601663</xdr:colOff>
      <xdr:row>74</xdr:row>
      <xdr:rowOff>50799</xdr:rowOff>
    </xdr:from>
    <xdr:to>
      <xdr:col>20</xdr:col>
      <xdr:colOff>53976</xdr:colOff>
      <xdr:row>92</xdr:row>
      <xdr:rowOff>98424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1143000</xdr:colOff>
      <xdr:row>58</xdr:row>
      <xdr:rowOff>176892</xdr:rowOff>
    </xdr:from>
    <xdr:to>
      <xdr:col>13</xdr:col>
      <xdr:colOff>292554</xdr:colOff>
      <xdr:row>72</xdr:row>
      <xdr:rowOff>156482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</xdr:row>
          <xdr:rowOff>85725</xdr:rowOff>
        </xdr:from>
        <xdr:to>
          <xdr:col>2</xdr:col>
          <xdr:colOff>847725</xdr:colOff>
          <xdr:row>6</xdr:row>
          <xdr:rowOff>19050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AA13"/>
  <sheetViews>
    <sheetView zoomScale="120" zoomScaleNormal="120" workbookViewId="0">
      <selection activeCell="F8" sqref="F8"/>
    </sheetView>
  </sheetViews>
  <sheetFormatPr defaultRowHeight="13.5"/>
  <cols>
    <col min="1" max="1" width="14.375" customWidth="1"/>
    <col min="2" max="2" width="10.375" customWidth="1"/>
    <col min="6" max="6" width="12.5" customWidth="1"/>
    <col min="11" max="11" width="12.125" customWidth="1"/>
  </cols>
  <sheetData>
    <row r="2" spans="1:27" ht="14.25">
      <c r="A2" s="8" t="s">
        <v>11</v>
      </c>
      <c r="B2" s="9" t="s">
        <v>116</v>
      </c>
      <c r="F2" s="10"/>
    </row>
    <row r="3" spans="1:27" ht="14.25">
      <c r="A3" s="8" t="s">
        <v>12</v>
      </c>
      <c r="B3" s="11">
        <v>10</v>
      </c>
      <c r="E3" s="10" t="s">
        <v>48</v>
      </c>
      <c r="F3" s="10"/>
      <c r="G3" s="10" t="s">
        <v>50</v>
      </c>
    </row>
    <row r="4" spans="1:27" ht="14.25">
      <c r="A4" s="8" t="s">
        <v>13</v>
      </c>
      <c r="B4" s="11">
        <v>1000</v>
      </c>
      <c r="E4" s="10" t="s">
        <v>49</v>
      </c>
      <c r="G4" s="10" t="s">
        <v>51</v>
      </c>
    </row>
    <row r="5" spans="1:27" ht="14.25">
      <c r="A5" s="8" t="s">
        <v>14</v>
      </c>
      <c r="B5" s="11">
        <v>55</v>
      </c>
    </row>
    <row r="6" spans="1:27" ht="14.25">
      <c r="A6" s="8" t="s">
        <v>15</v>
      </c>
      <c r="B6" s="9" t="s">
        <v>47</v>
      </c>
    </row>
    <row r="7" spans="1:27" ht="14.25">
      <c r="A7" s="10" t="s">
        <v>26</v>
      </c>
      <c r="B7" s="11">
        <v>10000</v>
      </c>
    </row>
    <row r="8" spans="1:27" ht="14.25">
      <c r="A8" s="10" t="s">
        <v>18</v>
      </c>
      <c r="B8" s="11">
        <v>5</v>
      </c>
    </row>
    <row r="11" spans="1:27" ht="14.25">
      <c r="A11" s="52" t="s">
        <v>65</v>
      </c>
      <c r="B11">
        <f>净保费</f>
        <v>18.052432528833361</v>
      </c>
    </row>
    <row r="12" spans="1:27" ht="14.25">
      <c r="A12" s="52" t="s">
        <v>66</v>
      </c>
      <c r="B12">
        <f>毛保费</f>
        <v>37.291266290629885</v>
      </c>
    </row>
    <row r="13" spans="1:27" ht="14.25">
      <c r="A13" s="52" t="s">
        <v>67</v>
      </c>
      <c r="B13" s="53">
        <f>评估!B40</f>
        <v>12.609659500041152</v>
      </c>
      <c r="C13" s="53">
        <f>评估!C40</f>
        <v>25.169262401913397</v>
      </c>
      <c r="D13" s="53">
        <f>评估!D40</f>
        <v>37.527590517080554</v>
      </c>
      <c r="E13" s="53">
        <f>评估!E40</f>
        <v>49.522665428967649</v>
      </c>
      <c r="F13" s="53">
        <f>评估!F40</f>
        <v>61.005721171537751</v>
      </c>
      <c r="G13" s="53">
        <f>评估!G40</f>
        <v>52.861104578729311</v>
      </c>
      <c r="H13" s="53">
        <f>评估!H40</f>
        <v>42.927925487920419</v>
      </c>
      <c r="I13" s="53">
        <f>评估!I40</f>
        <v>30.985425458875728</v>
      </c>
      <c r="J13" s="53">
        <f>评估!J40</f>
        <v>16.779230769230761</v>
      </c>
      <c r="K13" s="53">
        <f>评估!K40</f>
        <v>-6.504989716277569E-15</v>
      </c>
      <c r="L13" s="53" t="str">
        <f>评估!L40</f>
        <v/>
      </c>
      <c r="M13" s="53" t="str">
        <f>评估!M40</f>
        <v/>
      </c>
      <c r="N13" s="53" t="str">
        <f>评估!N40</f>
        <v/>
      </c>
      <c r="O13" s="53" t="str">
        <f>评估!O40</f>
        <v/>
      </c>
      <c r="P13" s="53" t="str">
        <f>评估!P40</f>
        <v/>
      </c>
      <c r="Q13" s="53" t="str">
        <f>评估!Q40</f>
        <v/>
      </c>
      <c r="R13" s="53" t="str">
        <f>评估!R40</f>
        <v/>
      </c>
      <c r="S13" s="53" t="str">
        <f>评估!S40</f>
        <v/>
      </c>
      <c r="T13" s="53" t="str">
        <f>评估!T40</f>
        <v/>
      </c>
      <c r="U13" s="53" t="str">
        <f>评估!U40</f>
        <v/>
      </c>
      <c r="V13" s="53" t="str">
        <f>评估!V40</f>
        <v/>
      </c>
      <c r="W13" s="53" t="str">
        <f>评估!W40</f>
        <v/>
      </c>
      <c r="X13" s="53" t="str">
        <f>评估!X40</f>
        <v/>
      </c>
      <c r="Y13" s="53" t="str">
        <f>评估!Y40</f>
        <v/>
      </c>
      <c r="Z13" s="53" t="str">
        <f>评估!Z40</f>
        <v/>
      </c>
      <c r="AA13" s="53" t="str">
        <f>评估!AA40</f>
        <v/>
      </c>
    </row>
  </sheetData>
  <phoneticPr fontId="4" type="noConversion"/>
  <dataValidations count="1">
    <dataValidation type="list" allowBlank="1" showInputMessage="1" showErrorMessage="1" sqref="B2">
      <formula1>$G$3:$G$4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CF41"/>
  <sheetViews>
    <sheetView workbookViewId="0">
      <selection activeCell="B10" sqref="B10"/>
    </sheetView>
  </sheetViews>
  <sheetFormatPr defaultRowHeight="14.25"/>
  <cols>
    <col min="1" max="1" width="16.5" style="29" customWidth="1"/>
    <col min="2" max="2" width="15.625" style="29" customWidth="1"/>
    <col min="3" max="3" width="14" style="29" customWidth="1"/>
    <col min="4" max="4" width="15.125" style="29" customWidth="1"/>
    <col min="5" max="10" width="16.125" style="29" bestFit="1" customWidth="1"/>
    <col min="11" max="11" width="17.25" style="29" bestFit="1" customWidth="1"/>
    <col min="12" max="256" width="9" style="29"/>
    <col min="257" max="257" width="12.75" style="29" customWidth="1"/>
    <col min="258" max="512" width="9" style="29"/>
    <col min="513" max="513" width="12.75" style="29" customWidth="1"/>
    <col min="514" max="768" width="9" style="29"/>
    <col min="769" max="769" width="12.75" style="29" customWidth="1"/>
    <col min="770" max="1024" width="9" style="29"/>
    <col min="1025" max="1025" width="12.75" style="29" customWidth="1"/>
    <col min="1026" max="1280" width="9" style="29"/>
    <col min="1281" max="1281" width="12.75" style="29" customWidth="1"/>
    <col min="1282" max="1536" width="9" style="29"/>
    <col min="1537" max="1537" width="12.75" style="29" customWidth="1"/>
    <col min="1538" max="1792" width="9" style="29"/>
    <col min="1793" max="1793" width="12.75" style="29" customWidth="1"/>
    <col min="1794" max="2048" width="9" style="29"/>
    <col min="2049" max="2049" width="12.75" style="29" customWidth="1"/>
    <col min="2050" max="2304" width="9" style="29"/>
    <col min="2305" max="2305" width="12.75" style="29" customWidth="1"/>
    <col min="2306" max="2560" width="9" style="29"/>
    <col min="2561" max="2561" width="12.75" style="29" customWidth="1"/>
    <col min="2562" max="2816" width="9" style="29"/>
    <col min="2817" max="2817" width="12.75" style="29" customWidth="1"/>
    <col min="2818" max="3072" width="9" style="29"/>
    <col min="3073" max="3073" width="12.75" style="29" customWidth="1"/>
    <col min="3074" max="3328" width="9" style="29"/>
    <col min="3329" max="3329" width="12.75" style="29" customWidth="1"/>
    <col min="3330" max="3584" width="9" style="29"/>
    <col min="3585" max="3585" width="12.75" style="29" customWidth="1"/>
    <col min="3586" max="3840" width="9" style="29"/>
    <col min="3841" max="3841" width="12.75" style="29" customWidth="1"/>
    <col min="3842" max="4096" width="9" style="29"/>
    <col min="4097" max="4097" width="12.75" style="29" customWidth="1"/>
    <col min="4098" max="4352" width="9" style="29"/>
    <col min="4353" max="4353" width="12.75" style="29" customWidth="1"/>
    <col min="4354" max="4608" width="9" style="29"/>
    <col min="4609" max="4609" width="12.75" style="29" customWidth="1"/>
    <col min="4610" max="4864" width="9" style="29"/>
    <col min="4865" max="4865" width="12.75" style="29" customWidth="1"/>
    <col min="4866" max="5120" width="9" style="29"/>
    <col min="5121" max="5121" width="12.75" style="29" customWidth="1"/>
    <col min="5122" max="5376" width="9" style="29"/>
    <col min="5377" max="5377" width="12.75" style="29" customWidth="1"/>
    <col min="5378" max="5632" width="9" style="29"/>
    <col min="5633" max="5633" width="12.75" style="29" customWidth="1"/>
    <col min="5634" max="5888" width="9" style="29"/>
    <col min="5889" max="5889" width="12.75" style="29" customWidth="1"/>
    <col min="5890" max="6144" width="9" style="29"/>
    <col min="6145" max="6145" width="12.75" style="29" customWidth="1"/>
    <col min="6146" max="6400" width="9" style="29"/>
    <col min="6401" max="6401" width="12.75" style="29" customWidth="1"/>
    <col min="6402" max="6656" width="9" style="29"/>
    <col min="6657" max="6657" width="12.75" style="29" customWidth="1"/>
    <col min="6658" max="6912" width="9" style="29"/>
    <col min="6913" max="6913" width="12.75" style="29" customWidth="1"/>
    <col min="6914" max="7168" width="9" style="29"/>
    <col min="7169" max="7169" width="12.75" style="29" customWidth="1"/>
    <col min="7170" max="7424" width="9" style="29"/>
    <col min="7425" max="7425" width="12.75" style="29" customWidth="1"/>
    <col min="7426" max="7680" width="9" style="29"/>
    <col min="7681" max="7681" width="12.75" style="29" customWidth="1"/>
    <col min="7682" max="7936" width="9" style="29"/>
    <col min="7937" max="7937" width="12.75" style="29" customWidth="1"/>
    <col min="7938" max="8192" width="9" style="29"/>
    <col min="8193" max="8193" width="12.75" style="29" customWidth="1"/>
    <col min="8194" max="8448" width="9" style="29"/>
    <col min="8449" max="8449" width="12.75" style="29" customWidth="1"/>
    <col min="8450" max="8704" width="9" style="29"/>
    <col min="8705" max="8705" width="12.75" style="29" customWidth="1"/>
    <col min="8706" max="8960" width="9" style="29"/>
    <col min="8961" max="8961" width="12.75" style="29" customWidth="1"/>
    <col min="8962" max="9216" width="9" style="29"/>
    <col min="9217" max="9217" width="12.75" style="29" customWidth="1"/>
    <col min="9218" max="9472" width="9" style="29"/>
    <col min="9473" max="9473" width="12.75" style="29" customWidth="1"/>
    <col min="9474" max="9728" width="9" style="29"/>
    <col min="9729" max="9729" width="12.75" style="29" customWidth="1"/>
    <col min="9730" max="9984" width="9" style="29"/>
    <col min="9985" max="9985" width="12.75" style="29" customWidth="1"/>
    <col min="9986" max="10240" width="9" style="29"/>
    <col min="10241" max="10241" width="12.75" style="29" customWidth="1"/>
    <col min="10242" max="10496" width="9" style="29"/>
    <col min="10497" max="10497" width="12.75" style="29" customWidth="1"/>
    <col min="10498" max="10752" width="9" style="29"/>
    <col min="10753" max="10753" width="12.75" style="29" customWidth="1"/>
    <col min="10754" max="11008" width="9" style="29"/>
    <col min="11009" max="11009" width="12.75" style="29" customWidth="1"/>
    <col min="11010" max="11264" width="9" style="29"/>
    <col min="11265" max="11265" width="12.75" style="29" customWidth="1"/>
    <col min="11266" max="11520" width="9" style="29"/>
    <col min="11521" max="11521" width="12.75" style="29" customWidth="1"/>
    <col min="11522" max="11776" width="9" style="29"/>
    <col min="11777" max="11777" width="12.75" style="29" customWidth="1"/>
    <col min="11778" max="12032" width="9" style="29"/>
    <col min="12033" max="12033" width="12.75" style="29" customWidth="1"/>
    <col min="12034" max="12288" width="9" style="29"/>
    <col min="12289" max="12289" width="12.75" style="29" customWidth="1"/>
    <col min="12290" max="12544" width="9" style="29"/>
    <col min="12545" max="12545" width="12.75" style="29" customWidth="1"/>
    <col min="12546" max="12800" width="9" style="29"/>
    <col min="12801" max="12801" width="12.75" style="29" customWidth="1"/>
    <col min="12802" max="13056" width="9" style="29"/>
    <col min="13057" max="13057" width="12.75" style="29" customWidth="1"/>
    <col min="13058" max="13312" width="9" style="29"/>
    <col min="13313" max="13313" width="12.75" style="29" customWidth="1"/>
    <col min="13314" max="13568" width="9" style="29"/>
    <col min="13569" max="13569" width="12.75" style="29" customWidth="1"/>
    <col min="13570" max="13824" width="9" style="29"/>
    <col min="13825" max="13825" width="12.75" style="29" customWidth="1"/>
    <col min="13826" max="14080" width="9" style="29"/>
    <col min="14081" max="14081" width="12.75" style="29" customWidth="1"/>
    <col min="14082" max="14336" width="9" style="29"/>
    <col min="14337" max="14337" width="12.75" style="29" customWidth="1"/>
    <col min="14338" max="14592" width="9" style="29"/>
    <col min="14593" max="14593" width="12.75" style="29" customWidth="1"/>
    <col min="14594" max="14848" width="9" style="29"/>
    <col min="14849" max="14849" width="12.75" style="29" customWidth="1"/>
    <col min="14850" max="15104" width="9" style="29"/>
    <col min="15105" max="15105" width="12.75" style="29" customWidth="1"/>
    <col min="15106" max="15360" width="9" style="29"/>
    <col min="15361" max="15361" width="12.75" style="29" customWidth="1"/>
    <col min="15362" max="15616" width="9" style="29"/>
    <col min="15617" max="15617" width="12.75" style="29" customWidth="1"/>
    <col min="15618" max="15872" width="9" style="29"/>
    <col min="15873" max="15873" width="12.75" style="29" customWidth="1"/>
    <col min="15874" max="16128" width="9" style="29"/>
    <col min="16129" max="16129" width="12.75" style="29" customWidth="1"/>
    <col min="16130" max="16384" width="9" style="29"/>
  </cols>
  <sheetData>
    <row r="2" spans="1:9">
      <c r="A2" s="44" t="s">
        <v>11</v>
      </c>
      <c r="B2" s="45" t="str">
        <f>产品类型</f>
        <v>定期</v>
      </c>
    </row>
    <row r="3" spans="1:9">
      <c r="A3" s="46" t="s">
        <v>12</v>
      </c>
      <c r="B3" s="47">
        <f>保险期间</f>
        <v>10</v>
      </c>
      <c r="C3" s="30"/>
    </row>
    <row r="4" spans="1:9">
      <c r="A4" s="46" t="s">
        <v>13</v>
      </c>
      <c r="B4" s="47">
        <f>保额</f>
        <v>1000</v>
      </c>
    </row>
    <row r="5" spans="1:9">
      <c r="A5" s="46" t="s">
        <v>14</v>
      </c>
      <c r="B5" s="47">
        <f>投保年龄</f>
        <v>55</v>
      </c>
    </row>
    <row r="6" spans="1:9">
      <c r="A6" s="46" t="s">
        <v>15</v>
      </c>
      <c r="B6" s="48" t="str">
        <f>投保性别</f>
        <v>男</v>
      </c>
    </row>
    <row r="7" spans="1:9">
      <c r="A7" s="49" t="s">
        <v>26</v>
      </c>
      <c r="B7" s="47">
        <f>期初保单数</f>
        <v>10000</v>
      </c>
    </row>
    <row r="8" spans="1:9">
      <c r="A8" s="50" t="s">
        <v>18</v>
      </c>
      <c r="B8" s="51">
        <f>缴费期</f>
        <v>5</v>
      </c>
    </row>
    <row r="9" spans="1:9">
      <c r="A9" s="31" t="s">
        <v>16</v>
      </c>
      <c r="B9" s="29" t="str">
        <f>IF(投保性别="男","男(CL1)","女(CL2)")</f>
        <v>男(CL1)</v>
      </c>
    </row>
    <row r="10" spans="1:9">
      <c r="A10" s="31" t="s">
        <v>41</v>
      </c>
      <c r="B10" s="32">
        <v>1.2</v>
      </c>
      <c r="H10" s="29">
        <v>40.5</v>
      </c>
      <c r="I10" s="29" t="s">
        <v>58</v>
      </c>
    </row>
    <row r="11" spans="1:9" ht="15" thickBot="1">
      <c r="A11" s="29" t="s">
        <v>17</v>
      </c>
      <c r="B11" s="33">
        <v>0.04</v>
      </c>
      <c r="H11" s="29">
        <v>5</v>
      </c>
      <c r="I11" s="29" t="s">
        <v>59</v>
      </c>
    </row>
    <row r="12" spans="1:9" ht="15" thickBot="1">
      <c r="A12" s="29" t="s">
        <v>63</v>
      </c>
      <c r="B12" s="34">
        <f>D12</f>
        <v>18.052432528833361</v>
      </c>
      <c r="C12" s="35">
        <f>INDEX(B39:CZ39,保险期间)</f>
        <v>-5.8207660913467407E-11</v>
      </c>
      <c r="D12" s="36">
        <f>(B15*C16-B16*C15)/(C16-C15)</f>
        <v>18.052432528833361</v>
      </c>
      <c r="H12" s="29">
        <v>87</v>
      </c>
      <c r="I12" s="29" t="s">
        <v>60</v>
      </c>
    </row>
    <row r="13" spans="1:9">
      <c r="B13" s="34"/>
      <c r="C13" s="37"/>
      <c r="D13" s="29" t="s">
        <v>42</v>
      </c>
      <c r="H13" s="29">
        <v>6</v>
      </c>
      <c r="I13" s="29" t="s">
        <v>58</v>
      </c>
    </row>
    <row r="14" spans="1:9">
      <c r="B14" s="38"/>
      <c r="C14" s="39">
        <f>C12</f>
        <v>-5.8207660913467407E-11</v>
      </c>
      <c r="D14" s="29" t="s">
        <v>43</v>
      </c>
      <c r="H14" s="29">
        <v>0.5</v>
      </c>
      <c r="I14" s="29" t="s">
        <v>59</v>
      </c>
    </row>
    <row r="15" spans="1:9">
      <c r="B15" s="38">
        <v>10</v>
      </c>
      <c r="C15" s="39">
        <f t="dataTable" ref="C15:C18" dt2D="0" dtr="0" r1="B12"/>
        <v>-544532.11898623127</v>
      </c>
      <c r="D15" s="29" t="s">
        <v>44</v>
      </c>
      <c r="H15" s="29">
        <v>11.5</v>
      </c>
      <c r="I15" s="40" t="s">
        <v>56</v>
      </c>
    </row>
    <row r="16" spans="1:9">
      <c r="B16" s="38">
        <v>20</v>
      </c>
      <c r="C16" s="39">
        <v>131700.95348773728</v>
      </c>
      <c r="D16" s="29" t="s">
        <v>45</v>
      </c>
      <c r="H16" s="29">
        <v>7</v>
      </c>
      <c r="I16" s="41" t="s">
        <v>57</v>
      </c>
    </row>
    <row r="17" spans="1:84">
      <c r="B17" s="38">
        <v>50</v>
      </c>
      <c r="C17" s="39">
        <v>2160400.1709096427</v>
      </c>
      <c r="D17" s="29" t="s">
        <v>46</v>
      </c>
    </row>
    <row r="18" spans="1:84">
      <c r="B18" s="38">
        <v>100</v>
      </c>
      <c r="C18" s="39">
        <v>5541565.533279486</v>
      </c>
    </row>
    <row r="20" spans="1:84">
      <c r="A20" s="29" t="s">
        <v>19</v>
      </c>
    </row>
    <row r="21" spans="1:84">
      <c r="B21" s="42">
        <v>1</v>
      </c>
      <c r="C21" s="42">
        <f t="shared" ref="C21:AH21" si="0">IF(B21&lt;保险期间,B21+1,"")</f>
        <v>2</v>
      </c>
      <c r="D21" s="42">
        <f t="shared" si="0"/>
        <v>3</v>
      </c>
      <c r="E21" s="42">
        <f t="shared" si="0"/>
        <v>4</v>
      </c>
      <c r="F21" s="42">
        <f t="shared" si="0"/>
        <v>5</v>
      </c>
      <c r="G21" s="42">
        <f t="shared" si="0"/>
        <v>6</v>
      </c>
      <c r="H21" s="42">
        <f t="shared" si="0"/>
        <v>7</v>
      </c>
      <c r="I21" s="42">
        <f t="shared" si="0"/>
        <v>8</v>
      </c>
      <c r="J21" s="42">
        <f t="shared" si="0"/>
        <v>9</v>
      </c>
      <c r="K21" s="42">
        <f t="shared" si="0"/>
        <v>10</v>
      </c>
      <c r="L21" s="42" t="str">
        <f t="shared" si="0"/>
        <v/>
      </c>
      <c r="M21" s="42" t="str">
        <f t="shared" si="0"/>
        <v/>
      </c>
      <c r="N21" s="42" t="str">
        <f t="shared" si="0"/>
        <v/>
      </c>
      <c r="O21" s="42" t="str">
        <f t="shared" si="0"/>
        <v/>
      </c>
      <c r="P21" s="42" t="str">
        <f t="shared" si="0"/>
        <v/>
      </c>
      <c r="Q21" s="42" t="str">
        <f t="shared" si="0"/>
        <v/>
      </c>
      <c r="R21" s="42" t="str">
        <f t="shared" si="0"/>
        <v/>
      </c>
      <c r="S21" s="42" t="str">
        <f t="shared" si="0"/>
        <v/>
      </c>
      <c r="T21" s="42" t="str">
        <f t="shared" si="0"/>
        <v/>
      </c>
      <c r="U21" s="42" t="str">
        <f t="shared" si="0"/>
        <v/>
      </c>
      <c r="V21" s="42" t="str">
        <f t="shared" si="0"/>
        <v/>
      </c>
      <c r="W21" s="42" t="str">
        <f t="shared" si="0"/>
        <v/>
      </c>
      <c r="X21" s="42" t="str">
        <f t="shared" si="0"/>
        <v/>
      </c>
      <c r="Y21" s="42" t="str">
        <f t="shared" si="0"/>
        <v/>
      </c>
      <c r="Z21" s="42" t="str">
        <f t="shared" si="0"/>
        <v/>
      </c>
      <c r="AA21" s="42" t="str">
        <f t="shared" si="0"/>
        <v/>
      </c>
      <c r="AB21" s="42" t="str">
        <f t="shared" si="0"/>
        <v/>
      </c>
      <c r="AC21" s="42" t="str">
        <f t="shared" si="0"/>
        <v/>
      </c>
      <c r="AD21" s="42" t="str">
        <f t="shared" si="0"/>
        <v/>
      </c>
      <c r="AE21" s="42" t="str">
        <f t="shared" si="0"/>
        <v/>
      </c>
      <c r="AF21" s="42" t="str">
        <f t="shared" si="0"/>
        <v/>
      </c>
      <c r="AG21" s="42" t="str">
        <f t="shared" si="0"/>
        <v/>
      </c>
      <c r="AH21" s="42" t="str">
        <f t="shared" si="0"/>
        <v/>
      </c>
      <c r="AI21" s="42" t="str">
        <f t="shared" ref="AI21:BN21" si="1">IF(AH21&lt;保险期间,AH21+1,"")</f>
        <v/>
      </c>
      <c r="AJ21" s="42" t="str">
        <f t="shared" si="1"/>
        <v/>
      </c>
      <c r="AK21" s="42" t="str">
        <f t="shared" si="1"/>
        <v/>
      </c>
      <c r="AL21" s="42" t="str">
        <f t="shared" si="1"/>
        <v/>
      </c>
      <c r="AM21" s="42" t="str">
        <f t="shared" si="1"/>
        <v/>
      </c>
      <c r="AN21" s="42" t="str">
        <f t="shared" si="1"/>
        <v/>
      </c>
      <c r="AO21" s="42" t="str">
        <f t="shared" si="1"/>
        <v/>
      </c>
      <c r="AP21" s="42" t="str">
        <f t="shared" si="1"/>
        <v/>
      </c>
      <c r="AQ21" s="42" t="str">
        <f t="shared" si="1"/>
        <v/>
      </c>
      <c r="AR21" s="42" t="str">
        <f t="shared" si="1"/>
        <v/>
      </c>
      <c r="AS21" s="42" t="str">
        <f t="shared" si="1"/>
        <v/>
      </c>
      <c r="AT21" s="42" t="str">
        <f t="shared" si="1"/>
        <v/>
      </c>
      <c r="AU21" s="42" t="str">
        <f t="shared" si="1"/>
        <v/>
      </c>
      <c r="AV21" s="42" t="str">
        <f t="shared" si="1"/>
        <v/>
      </c>
      <c r="AW21" s="42" t="str">
        <f t="shared" si="1"/>
        <v/>
      </c>
      <c r="AX21" s="42" t="str">
        <f t="shared" si="1"/>
        <v/>
      </c>
      <c r="AY21" s="42" t="str">
        <f t="shared" si="1"/>
        <v/>
      </c>
      <c r="AZ21" s="42" t="str">
        <f t="shared" si="1"/>
        <v/>
      </c>
      <c r="BA21" s="42" t="str">
        <f t="shared" si="1"/>
        <v/>
      </c>
      <c r="BB21" s="42" t="str">
        <f t="shared" si="1"/>
        <v/>
      </c>
      <c r="BC21" s="42" t="str">
        <f t="shared" si="1"/>
        <v/>
      </c>
      <c r="BD21" s="42" t="str">
        <f t="shared" si="1"/>
        <v/>
      </c>
      <c r="BE21" s="42" t="str">
        <f t="shared" si="1"/>
        <v/>
      </c>
      <c r="BF21" s="42" t="str">
        <f t="shared" si="1"/>
        <v/>
      </c>
      <c r="BG21" s="42" t="str">
        <f t="shared" si="1"/>
        <v/>
      </c>
      <c r="BH21" s="42" t="str">
        <f t="shared" si="1"/>
        <v/>
      </c>
      <c r="BI21" s="42" t="str">
        <f t="shared" si="1"/>
        <v/>
      </c>
      <c r="BJ21" s="42" t="str">
        <f t="shared" si="1"/>
        <v/>
      </c>
      <c r="BK21" s="42" t="str">
        <f t="shared" si="1"/>
        <v/>
      </c>
      <c r="BL21" s="42" t="str">
        <f t="shared" si="1"/>
        <v/>
      </c>
      <c r="BM21" s="42" t="str">
        <f t="shared" si="1"/>
        <v/>
      </c>
      <c r="BN21" s="42" t="str">
        <f t="shared" si="1"/>
        <v/>
      </c>
      <c r="BO21" s="42" t="str">
        <f t="shared" ref="BO21:CF21" si="2">IF(BN21&lt;保险期间,BN21+1,"")</f>
        <v/>
      </c>
      <c r="BP21" s="42" t="str">
        <f t="shared" si="2"/>
        <v/>
      </c>
      <c r="BQ21" s="42" t="str">
        <f t="shared" si="2"/>
        <v/>
      </c>
      <c r="BR21" s="42" t="str">
        <f t="shared" si="2"/>
        <v/>
      </c>
      <c r="BS21" s="42" t="str">
        <f t="shared" si="2"/>
        <v/>
      </c>
      <c r="BT21" s="42" t="str">
        <f t="shared" si="2"/>
        <v/>
      </c>
      <c r="BU21" s="42" t="str">
        <f t="shared" si="2"/>
        <v/>
      </c>
      <c r="BV21" s="42" t="str">
        <f t="shared" si="2"/>
        <v/>
      </c>
      <c r="BW21" s="42" t="str">
        <f t="shared" si="2"/>
        <v/>
      </c>
      <c r="BX21" s="42" t="str">
        <f t="shared" si="2"/>
        <v/>
      </c>
      <c r="BY21" s="42" t="str">
        <f t="shared" si="2"/>
        <v/>
      </c>
      <c r="BZ21" s="42" t="str">
        <f t="shared" si="2"/>
        <v/>
      </c>
      <c r="CA21" s="42" t="str">
        <f t="shared" si="2"/>
        <v/>
      </c>
      <c r="CB21" s="42" t="str">
        <f t="shared" si="2"/>
        <v/>
      </c>
      <c r="CC21" s="42" t="str">
        <f t="shared" si="2"/>
        <v/>
      </c>
      <c r="CD21" s="42" t="str">
        <f t="shared" si="2"/>
        <v/>
      </c>
      <c r="CE21" s="42" t="str">
        <f t="shared" si="2"/>
        <v/>
      </c>
      <c r="CF21" s="42" t="str">
        <f t="shared" si="2"/>
        <v/>
      </c>
    </row>
    <row r="22" spans="1:84">
      <c r="A22" s="29" t="s">
        <v>20</v>
      </c>
      <c r="B22" s="29">
        <f>评估死亡率因子*HLOOKUP(评估生命表,生命表,投保年龄+2+B21)</f>
        <v>6.2436000000000002E-3</v>
      </c>
      <c r="C22" s="29">
        <f t="shared" ref="C22:AH22" si="3">IF(B21&lt;保险期间,评估死亡率因子*HLOOKUP(评估生命表,生命表,投保年龄+2+C21),"")</f>
        <v>6.8928000000000001E-3</v>
      </c>
      <c r="D22" s="29">
        <f t="shared" si="3"/>
        <v>7.7124000000000003E-3</v>
      </c>
      <c r="E22" s="29">
        <f t="shared" si="3"/>
        <v>8.7119999999999993E-3</v>
      </c>
      <c r="F22" s="29">
        <f t="shared" si="3"/>
        <v>9.8747999999999996E-3</v>
      </c>
      <c r="G22" s="29">
        <f t="shared" si="3"/>
        <v>1.1175599999999999E-2</v>
      </c>
      <c r="H22" s="29">
        <f t="shared" si="3"/>
        <v>1.2587999999999998E-2</v>
      </c>
      <c r="I22" s="29">
        <f t="shared" si="3"/>
        <v>1.40964E-2</v>
      </c>
      <c r="J22" s="29">
        <f t="shared" si="3"/>
        <v>1.57092E-2</v>
      </c>
      <c r="K22" s="29">
        <f t="shared" si="3"/>
        <v>1.7450399999999998E-2</v>
      </c>
      <c r="L22" s="29" t="str">
        <f t="shared" si="3"/>
        <v/>
      </c>
      <c r="M22" s="29" t="str">
        <f t="shared" si="3"/>
        <v/>
      </c>
      <c r="N22" s="29" t="str">
        <f t="shared" si="3"/>
        <v/>
      </c>
      <c r="O22" s="29" t="str">
        <f t="shared" si="3"/>
        <v/>
      </c>
      <c r="P22" s="29" t="str">
        <f t="shared" si="3"/>
        <v/>
      </c>
      <c r="Q22" s="29" t="str">
        <f t="shared" si="3"/>
        <v/>
      </c>
      <c r="R22" s="29" t="str">
        <f t="shared" si="3"/>
        <v/>
      </c>
      <c r="S22" s="29" t="str">
        <f t="shared" si="3"/>
        <v/>
      </c>
      <c r="T22" s="29" t="str">
        <f t="shared" si="3"/>
        <v/>
      </c>
      <c r="U22" s="29" t="str">
        <f t="shared" si="3"/>
        <v/>
      </c>
      <c r="V22" s="29" t="str">
        <f t="shared" si="3"/>
        <v/>
      </c>
      <c r="W22" s="29" t="str">
        <f t="shared" si="3"/>
        <v/>
      </c>
      <c r="X22" s="29" t="str">
        <f t="shared" si="3"/>
        <v/>
      </c>
      <c r="Y22" s="29" t="str">
        <f t="shared" si="3"/>
        <v/>
      </c>
      <c r="Z22" s="29" t="str">
        <f t="shared" si="3"/>
        <v/>
      </c>
      <c r="AA22" s="29" t="str">
        <f t="shared" si="3"/>
        <v/>
      </c>
      <c r="AB22" s="29" t="str">
        <f t="shared" si="3"/>
        <v/>
      </c>
      <c r="AC22" s="29" t="str">
        <f t="shared" si="3"/>
        <v/>
      </c>
      <c r="AD22" s="29" t="str">
        <f t="shared" si="3"/>
        <v/>
      </c>
      <c r="AE22" s="29" t="str">
        <f t="shared" si="3"/>
        <v/>
      </c>
      <c r="AF22" s="29" t="str">
        <f t="shared" si="3"/>
        <v/>
      </c>
      <c r="AG22" s="29" t="str">
        <f t="shared" si="3"/>
        <v/>
      </c>
      <c r="AH22" s="29" t="str">
        <f t="shared" si="3"/>
        <v/>
      </c>
      <c r="AI22" s="29" t="str">
        <f t="shared" ref="AI22:BN22" si="4">IF(AH21&lt;保险期间,评估死亡率因子*HLOOKUP(评估生命表,生命表,投保年龄+2+AI21),"")</f>
        <v/>
      </c>
      <c r="AJ22" s="29" t="str">
        <f t="shared" si="4"/>
        <v/>
      </c>
      <c r="AK22" s="29" t="str">
        <f t="shared" si="4"/>
        <v/>
      </c>
      <c r="AL22" s="29" t="str">
        <f t="shared" si="4"/>
        <v/>
      </c>
      <c r="AM22" s="29" t="str">
        <f t="shared" si="4"/>
        <v/>
      </c>
      <c r="AN22" s="29" t="str">
        <f t="shared" si="4"/>
        <v/>
      </c>
      <c r="AO22" s="29" t="str">
        <f t="shared" si="4"/>
        <v/>
      </c>
      <c r="AP22" s="29" t="str">
        <f t="shared" si="4"/>
        <v/>
      </c>
      <c r="AQ22" s="29" t="str">
        <f t="shared" si="4"/>
        <v/>
      </c>
      <c r="AR22" s="29" t="str">
        <f t="shared" si="4"/>
        <v/>
      </c>
      <c r="AS22" s="29" t="str">
        <f t="shared" si="4"/>
        <v/>
      </c>
      <c r="AT22" s="29" t="str">
        <f t="shared" si="4"/>
        <v/>
      </c>
      <c r="AU22" s="29" t="str">
        <f t="shared" si="4"/>
        <v/>
      </c>
      <c r="AV22" s="29" t="str">
        <f t="shared" si="4"/>
        <v/>
      </c>
      <c r="AW22" s="29" t="str">
        <f t="shared" si="4"/>
        <v/>
      </c>
      <c r="AX22" s="29" t="str">
        <f t="shared" si="4"/>
        <v/>
      </c>
      <c r="AY22" s="29" t="str">
        <f t="shared" si="4"/>
        <v/>
      </c>
      <c r="AZ22" s="29" t="str">
        <f t="shared" si="4"/>
        <v/>
      </c>
      <c r="BA22" s="29" t="str">
        <f t="shared" si="4"/>
        <v/>
      </c>
      <c r="BB22" s="29" t="str">
        <f t="shared" si="4"/>
        <v/>
      </c>
      <c r="BC22" s="29" t="str">
        <f t="shared" si="4"/>
        <v/>
      </c>
      <c r="BD22" s="29" t="str">
        <f t="shared" si="4"/>
        <v/>
      </c>
      <c r="BE22" s="29" t="str">
        <f t="shared" si="4"/>
        <v/>
      </c>
      <c r="BF22" s="29" t="str">
        <f t="shared" si="4"/>
        <v/>
      </c>
      <c r="BG22" s="29" t="str">
        <f t="shared" si="4"/>
        <v/>
      </c>
      <c r="BH22" s="29" t="str">
        <f t="shared" si="4"/>
        <v/>
      </c>
      <c r="BI22" s="29" t="str">
        <f t="shared" si="4"/>
        <v/>
      </c>
      <c r="BJ22" s="29" t="str">
        <f t="shared" si="4"/>
        <v/>
      </c>
      <c r="BK22" s="29" t="str">
        <f t="shared" si="4"/>
        <v/>
      </c>
      <c r="BL22" s="29" t="str">
        <f t="shared" si="4"/>
        <v/>
      </c>
      <c r="BM22" s="29" t="str">
        <f t="shared" si="4"/>
        <v/>
      </c>
      <c r="BN22" s="29" t="str">
        <f t="shared" si="4"/>
        <v/>
      </c>
      <c r="BO22" s="29" t="str">
        <f t="shared" ref="BO22:CF22" si="5">IF(BN21&lt;保险期间,评估死亡率因子*HLOOKUP(评估生命表,生命表,投保年龄+2+BO21),"")</f>
        <v/>
      </c>
      <c r="BP22" s="29" t="str">
        <f t="shared" si="5"/>
        <v/>
      </c>
      <c r="BQ22" s="29" t="str">
        <f t="shared" si="5"/>
        <v/>
      </c>
      <c r="BR22" s="29" t="str">
        <f t="shared" si="5"/>
        <v/>
      </c>
      <c r="BS22" s="29" t="str">
        <f t="shared" si="5"/>
        <v/>
      </c>
      <c r="BT22" s="29" t="str">
        <f t="shared" si="5"/>
        <v/>
      </c>
      <c r="BU22" s="29" t="str">
        <f t="shared" si="5"/>
        <v/>
      </c>
      <c r="BV22" s="29" t="str">
        <f t="shared" si="5"/>
        <v/>
      </c>
      <c r="BW22" s="29" t="str">
        <f t="shared" si="5"/>
        <v/>
      </c>
      <c r="BX22" s="29" t="str">
        <f t="shared" si="5"/>
        <v/>
      </c>
      <c r="BY22" s="29" t="str">
        <f t="shared" si="5"/>
        <v/>
      </c>
      <c r="BZ22" s="29" t="str">
        <f t="shared" si="5"/>
        <v/>
      </c>
      <c r="CA22" s="29" t="str">
        <f t="shared" si="5"/>
        <v/>
      </c>
      <c r="CB22" s="29" t="str">
        <f t="shared" si="5"/>
        <v/>
      </c>
      <c r="CC22" s="29" t="str">
        <f t="shared" si="5"/>
        <v/>
      </c>
      <c r="CD22" s="29" t="str">
        <f t="shared" si="5"/>
        <v/>
      </c>
      <c r="CE22" s="29" t="str">
        <f t="shared" si="5"/>
        <v/>
      </c>
      <c r="CF22" s="29" t="str">
        <f t="shared" si="5"/>
        <v/>
      </c>
    </row>
    <row r="23" spans="1:84">
      <c r="A23" s="29" t="s">
        <v>21</v>
      </c>
      <c r="B23" s="29">
        <f>评估利率</f>
        <v>0.04</v>
      </c>
      <c r="C23" s="29">
        <f t="shared" ref="C23:AH23" si="6">IF(B21&lt;保险期间,评估利率,"")</f>
        <v>0.04</v>
      </c>
      <c r="D23" s="29">
        <f t="shared" si="6"/>
        <v>0.04</v>
      </c>
      <c r="E23" s="29">
        <f t="shared" si="6"/>
        <v>0.04</v>
      </c>
      <c r="F23" s="29">
        <f t="shared" si="6"/>
        <v>0.04</v>
      </c>
      <c r="G23" s="29">
        <f t="shared" si="6"/>
        <v>0.04</v>
      </c>
      <c r="H23" s="29">
        <f t="shared" si="6"/>
        <v>0.04</v>
      </c>
      <c r="I23" s="29">
        <f t="shared" si="6"/>
        <v>0.04</v>
      </c>
      <c r="J23" s="29">
        <f t="shared" si="6"/>
        <v>0.04</v>
      </c>
      <c r="K23" s="29">
        <f t="shared" si="6"/>
        <v>0.04</v>
      </c>
      <c r="L23" s="29" t="str">
        <f t="shared" si="6"/>
        <v/>
      </c>
      <c r="M23" s="29" t="str">
        <f t="shared" si="6"/>
        <v/>
      </c>
      <c r="N23" s="29" t="str">
        <f t="shared" si="6"/>
        <v/>
      </c>
      <c r="O23" s="29" t="str">
        <f t="shared" si="6"/>
        <v/>
      </c>
      <c r="P23" s="29" t="str">
        <f t="shared" si="6"/>
        <v/>
      </c>
      <c r="Q23" s="29" t="str">
        <f t="shared" si="6"/>
        <v/>
      </c>
      <c r="R23" s="29" t="str">
        <f t="shared" si="6"/>
        <v/>
      </c>
      <c r="S23" s="29" t="str">
        <f t="shared" si="6"/>
        <v/>
      </c>
      <c r="T23" s="29" t="str">
        <f t="shared" si="6"/>
        <v/>
      </c>
      <c r="U23" s="29" t="str">
        <f t="shared" si="6"/>
        <v/>
      </c>
      <c r="V23" s="29" t="str">
        <f t="shared" si="6"/>
        <v/>
      </c>
      <c r="W23" s="29" t="str">
        <f t="shared" si="6"/>
        <v/>
      </c>
      <c r="X23" s="29" t="str">
        <f t="shared" si="6"/>
        <v/>
      </c>
      <c r="Y23" s="29" t="str">
        <f t="shared" si="6"/>
        <v/>
      </c>
      <c r="Z23" s="29" t="str">
        <f t="shared" si="6"/>
        <v/>
      </c>
      <c r="AA23" s="29" t="str">
        <f t="shared" si="6"/>
        <v/>
      </c>
      <c r="AB23" s="29" t="str">
        <f t="shared" si="6"/>
        <v/>
      </c>
      <c r="AC23" s="29" t="str">
        <f t="shared" si="6"/>
        <v/>
      </c>
      <c r="AD23" s="29" t="str">
        <f t="shared" si="6"/>
        <v/>
      </c>
      <c r="AE23" s="29" t="str">
        <f t="shared" si="6"/>
        <v/>
      </c>
      <c r="AF23" s="29" t="str">
        <f t="shared" si="6"/>
        <v/>
      </c>
      <c r="AG23" s="29" t="str">
        <f t="shared" si="6"/>
        <v/>
      </c>
      <c r="AH23" s="29" t="str">
        <f t="shared" si="6"/>
        <v/>
      </c>
      <c r="AI23" s="29" t="str">
        <f t="shared" ref="AI23:BN23" si="7">IF(AH21&lt;保险期间,评估利率,"")</f>
        <v/>
      </c>
      <c r="AJ23" s="29" t="str">
        <f t="shared" si="7"/>
        <v/>
      </c>
      <c r="AK23" s="29" t="str">
        <f t="shared" si="7"/>
        <v/>
      </c>
      <c r="AL23" s="29" t="str">
        <f t="shared" si="7"/>
        <v/>
      </c>
      <c r="AM23" s="29" t="str">
        <f t="shared" si="7"/>
        <v/>
      </c>
      <c r="AN23" s="29" t="str">
        <f t="shared" si="7"/>
        <v/>
      </c>
      <c r="AO23" s="29" t="str">
        <f t="shared" si="7"/>
        <v/>
      </c>
      <c r="AP23" s="29" t="str">
        <f t="shared" si="7"/>
        <v/>
      </c>
      <c r="AQ23" s="29" t="str">
        <f t="shared" si="7"/>
        <v/>
      </c>
      <c r="AR23" s="29" t="str">
        <f t="shared" si="7"/>
        <v/>
      </c>
      <c r="AS23" s="29" t="str">
        <f t="shared" si="7"/>
        <v/>
      </c>
      <c r="AT23" s="29" t="str">
        <f t="shared" si="7"/>
        <v/>
      </c>
      <c r="AU23" s="29" t="str">
        <f t="shared" si="7"/>
        <v/>
      </c>
      <c r="AV23" s="29" t="str">
        <f t="shared" si="7"/>
        <v/>
      </c>
      <c r="AW23" s="29" t="str">
        <f t="shared" si="7"/>
        <v/>
      </c>
      <c r="AX23" s="29" t="str">
        <f t="shared" si="7"/>
        <v/>
      </c>
      <c r="AY23" s="29" t="str">
        <f t="shared" si="7"/>
        <v/>
      </c>
      <c r="AZ23" s="29" t="str">
        <f t="shared" si="7"/>
        <v/>
      </c>
      <c r="BA23" s="29" t="str">
        <f t="shared" si="7"/>
        <v/>
      </c>
      <c r="BB23" s="29" t="str">
        <f t="shared" si="7"/>
        <v/>
      </c>
      <c r="BC23" s="29" t="str">
        <f t="shared" si="7"/>
        <v/>
      </c>
      <c r="BD23" s="29" t="str">
        <f t="shared" si="7"/>
        <v/>
      </c>
      <c r="BE23" s="29" t="str">
        <f t="shared" si="7"/>
        <v/>
      </c>
      <c r="BF23" s="29" t="str">
        <f t="shared" si="7"/>
        <v/>
      </c>
      <c r="BG23" s="29" t="str">
        <f t="shared" si="7"/>
        <v/>
      </c>
      <c r="BH23" s="29" t="str">
        <f t="shared" si="7"/>
        <v/>
      </c>
      <c r="BI23" s="29" t="str">
        <f t="shared" si="7"/>
        <v/>
      </c>
      <c r="BJ23" s="29" t="str">
        <f t="shared" si="7"/>
        <v/>
      </c>
      <c r="BK23" s="29" t="str">
        <f t="shared" si="7"/>
        <v/>
      </c>
      <c r="BL23" s="29" t="str">
        <f t="shared" si="7"/>
        <v/>
      </c>
      <c r="BM23" s="29" t="str">
        <f t="shared" si="7"/>
        <v/>
      </c>
      <c r="BN23" s="29" t="str">
        <f t="shared" si="7"/>
        <v/>
      </c>
      <c r="BO23" s="29" t="str">
        <f t="shared" ref="BO23:CF23" si="8">IF(BN21&lt;保险期间,评估利率,"")</f>
        <v/>
      </c>
      <c r="BP23" s="29" t="str">
        <f t="shared" si="8"/>
        <v/>
      </c>
      <c r="BQ23" s="29" t="str">
        <f t="shared" si="8"/>
        <v/>
      </c>
      <c r="BR23" s="29" t="str">
        <f t="shared" si="8"/>
        <v/>
      </c>
      <c r="BS23" s="29" t="str">
        <f t="shared" si="8"/>
        <v/>
      </c>
      <c r="BT23" s="29" t="str">
        <f t="shared" si="8"/>
        <v/>
      </c>
      <c r="BU23" s="29" t="str">
        <f t="shared" si="8"/>
        <v/>
      </c>
      <c r="BV23" s="29" t="str">
        <f t="shared" si="8"/>
        <v/>
      </c>
      <c r="BW23" s="29" t="str">
        <f t="shared" si="8"/>
        <v/>
      </c>
      <c r="BX23" s="29" t="str">
        <f t="shared" si="8"/>
        <v/>
      </c>
      <c r="BY23" s="29" t="str">
        <f t="shared" si="8"/>
        <v/>
      </c>
      <c r="BZ23" s="29" t="str">
        <f t="shared" si="8"/>
        <v/>
      </c>
      <c r="CA23" s="29" t="str">
        <f t="shared" si="8"/>
        <v/>
      </c>
      <c r="CB23" s="29" t="str">
        <f t="shared" si="8"/>
        <v/>
      </c>
      <c r="CC23" s="29" t="str">
        <f t="shared" si="8"/>
        <v/>
      </c>
      <c r="CD23" s="29" t="str">
        <f t="shared" si="8"/>
        <v/>
      </c>
      <c r="CE23" s="29" t="str">
        <f t="shared" si="8"/>
        <v/>
      </c>
      <c r="CF23" s="29" t="str">
        <f t="shared" si="8"/>
        <v/>
      </c>
    </row>
    <row r="24" spans="1:84">
      <c r="A24" s="29" t="s">
        <v>22</v>
      </c>
      <c r="B24" s="29">
        <f>IF(B21&lt;=缴费期,1,0)</f>
        <v>1</v>
      </c>
      <c r="C24" s="29">
        <f t="shared" ref="C24:AH24" si="9">IF(B21&lt;保险期间,IF(C21&lt;=缴费期,1,0),"")</f>
        <v>1</v>
      </c>
      <c r="D24" s="29">
        <f t="shared" si="9"/>
        <v>1</v>
      </c>
      <c r="E24" s="29">
        <f t="shared" si="9"/>
        <v>1</v>
      </c>
      <c r="F24" s="29">
        <f t="shared" si="9"/>
        <v>1</v>
      </c>
      <c r="G24" s="29">
        <f t="shared" si="9"/>
        <v>0</v>
      </c>
      <c r="H24" s="29">
        <f t="shared" si="9"/>
        <v>0</v>
      </c>
      <c r="I24" s="29">
        <f t="shared" si="9"/>
        <v>0</v>
      </c>
      <c r="J24" s="29">
        <f t="shared" si="9"/>
        <v>0</v>
      </c>
      <c r="K24" s="29">
        <f t="shared" si="9"/>
        <v>0</v>
      </c>
      <c r="L24" s="29" t="str">
        <f t="shared" si="9"/>
        <v/>
      </c>
      <c r="M24" s="29" t="str">
        <f t="shared" si="9"/>
        <v/>
      </c>
      <c r="N24" s="29" t="str">
        <f t="shared" si="9"/>
        <v/>
      </c>
      <c r="O24" s="29" t="str">
        <f t="shared" si="9"/>
        <v/>
      </c>
      <c r="P24" s="29" t="str">
        <f t="shared" si="9"/>
        <v/>
      </c>
      <c r="Q24" s="29" t="str">
        <f t="shared" si="9"/>
        <v/>
      </c>
      <c r="R24" s="29" t="str">
        <f t="shared" si="9"/>
        <v/>
      </c>
      <c r="S24" s="29" t="str">
        <f t="shared" si="9"/>
        <v/>
      </c>
      <c r="T24" s="29" t="str">
        <f t="shared" si="9"/>
        <v/>
      </c>
      <c r="U24" s="29" t="str">
        <f t="shared" si="9"/>
        <v/>
      </c>
      <c r="V24" s="29" t="str">
        <f t="shared" si="9"/>
        <v/>
      </c>
      <c r="W24" s="29" t="str">
        <f t="shared" si="9"/>
        <v/>
      </c>
      <c r="X24" s="29" t="str">
        <f t="shared" si="9"/>
        <v/>
      </c>
      <c r="Y24" s="29" t="str">
        <f t="shared" si="9"/>
        <v/>
      </c>
      <c r="Z24" s="29" t="str">
        <f t="shared" si="9"/>
        <v/>
      </c>
      <c r="AA24" s="29" t="str">
        <f t="shared" si="9"/>
        <v/>
      </c>
      <c r="AB24" s="29" t="str">
        <f t="shared" si="9"/>
        <v/>
      </c>
      <c r="AC24" s="29" t="str">
        <f t="shared" si="9"/>
        <v/>
      </c>
      <c r="AD24" s="29" t="str">
        <f t="shared" si="9"/>
        <v/>
      </c>
      <c r="AE24" s="29" t="str">
        <f t="shared" si="9"/>
        <v/>
      </c>
      <c r="AF24" s="29" t="str">
        <f t="shared" si="9"/>
        <v/>
      </c>
      <c r="AG24" s="29" t="str">
        <f t="shared" si="9"/>
        <v/>
      </c>
      <c r="AH24" s="29" t="str">
        <f t="shared" si="9"/>
        <v/>
      </c>
      <c r="AI24" s="29" t="str">
        <f t="shared" ref="AI24:BN24" si="10">IF(AH21&lt;保险期间,IF(AI21&lt;=缴费期,1,0),"")</f>
        <v/>
      </c>
      <c r="AJ24" s="29" t="str">
        <f t="shared" si="10"/>
        <v/>
      </c>
      <c r="AK24" s="29" t="str">
        <f t="shared" si="10"/>
        <v/>
      </c>
      <c r="AL24" s="29" t="str">
        <f t="shared" si="10"/>
        <v/>
      </c>
      <c r="AM24" s="29" t="str">
        <f t="shared" si="10"/>
        <v/>
      </c>
      <c r="AN24" s="29" t="str">
        <f t="shared" si="10"/>
        <v/>
      </c>
      <c r="AO24" s="29" t="str">
        <f t="shared" si="10"/>
        <v/>
      </c>
      <c r="AP24" s="29" t="str">
        <f t="shared" si="10"/>
        <v/>
      </c>
      <c r="AQ24" s="29" t="str">
        <f t="shared" si="10"/>
        <v/>
      </c>
      <c r="AR24" s="29" t="str">
        <f t="shared" si="10"/>
        <v/>
      </c>
      <c r="AS24" s="29" t="str">
        <f t="shared" si="10"/>
        <v/>
      </c>
      <c r="AT24" s="29" t="str">
        <f t="shared" si="10"/>
        <v/>
      </c>
      <c r="AU24" s="29" t="str">
        <f t="shared" si="10"/>
        <v/>
      </c>
      <c r="AV24" s="29" t="str">
        <f t="shared" si="10"/>
        <v/>
      </c>
      <c r="AW24" s="29" t="str">
        <f t="shared" si="10"/>
        <v/>
      </c>
      <c r="AX24" s="29" t="str">
        <f t="shared" si="10"/>
        <v/>
      </c>
      <c r="AY24" s="29" t="str">
        <f t="shared" si="10"/>
        <v/>
      </c>
      <c r="AZ24" s="29" t="str">
        <f t="shared" si="10"/>
        <v/>
      </c>
      <c r="BA24" s="29" t="str">
        <f t="shared" si="10"/>
        <v/>
      </c>
      <c r="BB24" s="29" t="str">
        <f t="shared" si="10"/>
        <v/>
      </c>
      <c r="BC24" s="29" t="str">
        <f t="shared" si="10"/>
        <v/>
      </c>
      <c r="BD24" s="29" t="str">
        <f t="shared" si="10"/>
        <v/>
      </c>
      <c r="BE24" s="29" t="str">
        <f t="shared" si="10"/>
        <v/>
      </c>
      <c r="BF24" s="29" t="str">
        <f t="shared" si="10"/>
        <v/>
      </c>
      <c r="BG24" s="29" t="str">
        <f t="shared" si="10"/>
        <v/>
      </c>
      <c r="BH24" s="29" t="str">
        <f t="shared" si="10"/>
        <v/>
      </c>
      <c r="BI24" s="29" t="str">
        <f t="shared" si="10"/>
        <v/>
      </c>
      <c r="BJ24" s="29" t="str">
        <f t="shared" si="10"/>
        <v/>
      </c>
      <c r="BK24" s="29" t="str">
        <f t="shared" si="10"/>
        <v/>
      </c>
      <c r="BL24" s="29" t="str">
        <f t="shared" si="10"/>
        <v/>
      </c>
      <c r="BM24" s="29" t="str">
        <f t="shared" si="10"/>
        <v/>
      </c>
      <c r="BN24" s="29" t="str">
        <f t="shared" si="10"/>
        <v/>
      </c>
      <c r="BO24" s="29" t="str">
        <f t="shared" ref="BO24:CF24" si="11">IF(BN21&lt;保险期间,IF(BO21&lt;=缴费期,1,0),"")</f>
        <v/>
      </c>
      <c r="BP24" s="29" t="str">
        <f t="shared" si="11"/>
        <v/>
      </c>
      <c r="BQ24" s="29" t="str">
        <f t="shared" si="11"/>
        <v/>
      </c>
      <c r="BR24" s="29" t="str">
        <f t="shared" si="11"/>
        <v/>
      </c>
      <c r="BS24" s="29" t="str">
        <f t="shared" si="11"/>
        <v/>
      </c>
      <c r="BT24" s="29" t="str">
        <f t="shared" si="11"/>
        <v/>
      </c>
      <c r="BU24" s="29" t="str">
        <f t="shared" si="11"/>
        <v/>
      </c>
      <c r="BV24" s="29" t="str">
        <f t="shared" si="11"/>
        <v/>
      </c>
      <c r="BW24" s="29" t="str">
        <f t="shared" si="11"/>
        <v/>
      </c>
      <c r="BX24" s="29" t="str">
        <f t="shared" si="11"/>
        <v/>
      </c>
      <c r="BY24" s="29" t="str">
        <f t="shared" si="11"/>
        <v/>
      </c>
      <c r="BZ24" s="29" t="str">
        <f t="shared" si="11"/>
        <v/>
      </c>
      <c r="CA24" s="29" t="str">
        <f t="shared" si="11"/>
        <v/>
      </c>
      <c r="CB24" s="29" t="str">
        <f t="shared" si="11"/>
        <v/>
      </c>
      <c r="CC24" s="29" t="str">
        <f t="shared" si="11"/>
        <v/>
      </c>
      <c r="CD24" s="29" t="str">
        <f t="shared" si="11"/>
        <v/>
      </c>
      <c r="CE24" s="29" t="str">
        <f t="shared" si="11"/>
        <v/>
      </c>
      <c r="CF24" s="29" t="str">
        <f t="shared" si="11"/>
        <v/>
      </c>
    </row>
    <row r="25" spans="1:84">
      <c r="A25" s="29" t="s">
        <v>52</v>
      </c>
      <c r="B25" s="29">
        <f t="shared" ref="B25:AG25" si="12">IF(B21&lt;=保险期间,IF(AND(B21=保险期间,产品类型="两全"),1,0),"")</f>
        <v>0</v>
      </c>
      <c r="C25" s="29">
        <f t="shared" si="12"/>
        <v>0</v>
      </c>
      <c r="D25" s="29">
        <f t="shared" si="12"/>
        <v>0</v>
      </c>
      <c r="E25" s="29">
        <f t="shared" si="12"/>
        <v>0</v>
      </c>
      <c r="F25" s="29">
        <f t="shared" si="12"/>
        <v>0</v>
      </c>
      <c r="G25" s="29">
        <f t="shared" si="12"/>
        <v>0</v>
      </c>
      <c r="H25" s="29">
        <f t="shared" si="12"/>
        <v>0</v>
      </c>
      <c r="I25" s="29">
        <f t="shared" si="12"/>
        <v>0</v>
      </c>
      <c r="J25" s="29">
        <f t="shared" si="12"/>
        <v>0</v>
      </c>
      <c r="K25" s="29">
        <f t="shared" si="12"/>
        <v>0</v>
      </c>
      <c r="L25" s="29" t="str">
        <f t="shared" si="12"/>
        <v/>
      </c>
      <c r="M25" s="29" t="str">
        <f t="shared" si="12"/>
        <v/>
      </c>
      <c r="N25" s="29" t="str">
        <f t="shared" si="12"/>
        <v/>
      </c>
      <c r="O25" s="29" t="str">
        <f t="shared" si="12"/>
        <v/>
      </c>
      <c r="P25" s="29" t="str">
        <f t="shared" si="12"/>
        <v/>
      </c>
      <c r="Q25" s="29" t="str">
        <f t="shared" si="12"/>
        <v/>
      </c>
      <c r="R25" s="29" t="str">
        <f t="shared" si="12"/>
        <v/>
      </c>
      <c r="S25" s="29" t="str">
        <f t="shared" si="12"/>
        <v/>
      </c>
      <c r="T25" s="29" t="str">
        <f t="shared" si="12"/>
        <v/>
      </c>
      <c r="U25" s="29" t="str">
        <f t="shared" si="12"/>
        <v/>
      </c>
      <c r="V25" s="29" t="str">
        <f t="shared" si="12"/>
        <v/>
      </c>
      <c r="W25" s="29" t="str">
        <f t="shared" si="12"/>
        <v/>
      </c>
      <c r="X25" s="29" t="str">
        <f t="shared" si="12"/>
        <v/>
      </c>
      <c r="Y25" s="29" t="str">
        <f t="shared" si="12"/>
        <v/>
      </c>
      <c r="Z25" s="29" t="str">
        <f t="shared" si="12"/>
        <v/>
      </c>
      <c r="AA25" s="29" t="str">
        <f t="shared" si="12"/>
        <v/>
      </c>
      <c r="AB25" s="29" t="str">
        <f t="shared" si="12"/>
        <v/>
      </c>
      <c r="AC25" s="29" t="str">
        <f t="shared" si="12"/>
        <v/>
      </c>
      <c r="AD25" s="29" t="str">
        <f t="shared" si="12"/>
        <v/>
      </c>
      <c r="AE25" s="29" t="str">
        <f t="shared" si="12"/>
        <v/>
      </c>
      <c r="AF25" s="29" t="str">
        <f t="shared" si="12"/>
        <v/>
      </c>
      <c r="AG25" s="29" t="str">
        <f t="shared" si="12"/>
        <v/>
      </c>
      <c r="AH25" s="29" t="str">
        <f t="shared" ref="AH25:BM25" si="13">IF(AH21&lt;=保险期间,IF(AND(AH21=保险期间,产品类型="两全"),1,0),"")</f>
        <v/>
      </c>
      <c r="AI25" s="29" t="str">
        <f t="shared" si="13"/>
        <v/>
      </c>
      <c r="AJ25" s="29" t="str">
        <f t="shared" si="13"/>
        <v/>
      </c>
      <c r="AK25" s="29" t="str">
        <f t="shared" si="13"/>
        <v/>
      </c>
      <c r="AL25" s="29" t="str">
        <f t="shared" si="13"/>
        <v/>
      </c>
      <c r="AM25" s="29" t="str">
        <f t="shared" si="13"/>
        <v/>
      </c>
      <c r="AN25" s="29" t="str">
        <f t="shared" si="13"/>
        <v/>
      </c>
      <c r="AO25" s="29" t="str">
        <f t="shared" si="13"/>
        <v/>
      </c>
      <c r="AP25" s="29" t="str">
        <f t="shared" si="13"/>
        <v/>
      </c>
      <c r="AQ25" s="29" t="str">
        <f t="shared" si="13"/>
        <v/>
      </c>
      <c r="AR25" s="29" t="str">
        <f t="shared" si="13"/>
        <v/>
      </c>
      <c r="AS25" s="29" t="str">
        <f t="shared" si="13"/>
        <v/>
      </c>
      <c r="AT25" s="29" t="str">
        <f t="shared" si="13"/>
        <v/>
      </c>
      <c r="AU25" s="29" t="str">
        <f t="shared" si="13"/>
        <v/>
      </c>
      <c r="AV25" s="29" t="str">
        <f t="shared" si="13"/>
        <v/>
      </c>
      <c r="AW25" s="29" t="str">
        <f t="shared" si="13"/>
        <v/>
      </c>
      <c r="AX25" s="29" t="str">
        <f t="shared" si="13"/>
        <v/>
      </c>
      <c r="AY25" s="29" t="str">
        <f t="shared" si="13"/>
        <v/>
      </c>
      <c r="AZ25" s="29" t="str">
        <f t="shared" si="13"/>
        <v/>
      </c>
      <c r="BA25" s="29" t="str">
        <f t="shared" si="13"/>
        <v/>
      </c>
      <c r="BB25" s="29" t="str">
        <f t="shared" si="13"/>
        <v/>
      </c>
      <c r="BC25" s="29" t="str">
        <f t="shared" si="13"/>
        <v/>
      </c>
      <c r="BD25" s="29" t="str">
        <f t="shared" si="13"/>
        <v/>
      </c>
      <c r="BE25" s="29" t="str">
        <f t="shared" si="13"/>
        <v/>
      </c>
      <c r="BF25" s="29" t="str">
        <f t="shared" si="13"/>
        <v/>
      </c>
      <c r="BG25" s="29" t="str">
        <f t="shared" si="13"/>
        <v/>
      </c>
      <c r="BH25" s="29" t="str">
        <f t="shared" si="13"/>
        <v/>
      </c>
      <c r="BI25" s="29" t="str">
        <f t="shared" si="13"/>
        <v/>
      </c>
      <c r="BJ25" s="29" t="str">
        <f t="shared" si="13"/>
        <v/>
      </c>
      <c r="BK25" s="29" t="str">
        <f t="shared" si="13"/>
        <v/>
      </c>
      <c r="BL25" s="29" t="str">
        <f t="shared" si="13"/>
        <v/>
      </c>
      <c r="BM25" s="29" t="str">
        <f t="shared" si="13"/>
        <v/>
      </c>
      <c r="BN25" s="29" t="str">
        <f t="shared" ref="BN25:CF25" si="14">IF(BN21&lt;=保险期间,IF(AND(BN21=保险期间,产品类型="两全"),1,0),"")</f>
        <v/>
      </c>
      <c r="BO25" s="29" t="str">
        <f t="shared" si="14"/>
        <v/>
      </c>
      <c r="BP25" s="29" t="str">
        <f t="shared" si="14"/>
        <v/>
      </c>
      <c r="BQ25" s="29" t="str">
        <f t="shared" si="14"/>
        <v/>
      </c>
      <c r="BR25" s="29" t="str">
        <f t="shared" si="14"/>
        <v/>
      </c>
      <c r="BS25" s="29" t="str">
        <f t="shared" si="14"/>
        <v/>
      </c>
      <c r="BT25" s="29" t="str">
        <f t="shared" si="14"/>
        <v/>
      </c>
      <c r="BU25" s="29" t="str">
        <f t="shared" si="14"/>
        <v/>
      </c>
      <c r="BV25" s="29" t="str">
        <f t="shared" si="14"/>
        <v/>
      </c>
      <c r="BW25" s="29" t="str">
        <f t="shared" si="14"/>
        <v/>
      </c>
      <c r="BX25" s="29" t="str">
        <f t="shared" si="14"/>
        <v/>
      </c>
      <c r="BY25" s="29" t="str">
        <f t="shared" si="14"/>
        <v/>
      </c>
      <c r="BZ25" s="29" t="str">
        <f t="shared" si="14"/>
        <v/>
      </c>
      <c r="CA25" s="29" t="str">
        <f t="shared" si="14"/>
        <v/>
      </c>
      <c r="CB25" s="29" t="str">
        <f t="shared" si="14"/>
        <v/>
      </c>
      <c r="CC25" s="29" t="str">
        <f t="shared" si="14"/>
        <v/>
      </c>
      <c r="CD25" s="29" t="str">
        <f t="shared" si="14"/>
        <v/>
      </c>
      <c r="CE25" s="29" t="str">
        <f t="shared" si="14"/>
        <v/>
      </c>
      <c r="CF25" s="29" t="str">
        <f t="shared" si="14"/>
        <v/>
      </c>
    </row>
    <row r="27" spans="1:84">
      <c r="B27" s="29">
        <f>B21</f>
        <v>1</v>
      </c>
      <c r="C27" s="29">
        <f>C21</f>
        <v>2</v>
      </c>
      <c r="D27" s="29">
        <f t="shared" ref="D27:BO27" si="15">D21</f>
        <v>3</v>
      </c>
      <c r="E27" s="29">
        <f t="shared" si="15"/>
        <v>4</v>
      </c>
      <c r="F27" s="29">
        <f t="shared" si="15"/>
        <v>5</v>
      </c>
      <c r="G27" s="29">
        <f t="shared" si="15"/>
        <v>6</v>
      </c>
      <c r="H27" s="29">
        <f t="shared" si="15"/>
        <v>7</v>
      </c>
      <c r="I27" s="29">
        <f t="shared" si="15"/>
        <v>8</v>
      </c>
      <c r="J27" s="29">
        <f t="shared" si="15"/>
        <v>9</v>
      </c>
      <c r="K27" s="29">
        <f t="shared" si="15"/>
        <v>10</v>
      </c>
      <c r="L27" s="29" t="str">
        <f t="shared" si="15"/>
        <v/>
      </c>
      <c r="M27" s="29" t="str">
        <f t="shared" si="15"/>
        <v/>
      </c>
      <c r="N27" s="29" t="str">
        <f t="shared" si="15"/>
        <v/>
      </c>
      <c r="O27" s="29" t="str">
        <f t="shared" si="15"/>
        <v/>
      </c>
      <c r="P27" s="29" t="str">
        <f t="shared" si="15"/>
        <v/>
      </c>
      <c r="Q27" s="29" t="str">
        <f t="shared" si="15"/>
        <v/>
      </c>
      <c r="R27" s="29" t="str">
        <f t="shared" si="15"/>
        <v/>
      </c>
      <c r="S27" s="29" t="str">
        <f t="shared" si="15"/>
        <v/>
      </c>
      <c r="T27" s="29" t="str">
        <f t="shared" si="15"/>
        <v/>
      </c>
      <c r="U27" s="29" t="str">
        <f t="shared" si="15"/>
        <v/>
      </c>
      <c r="V27" s="29" t="str">
        <f t="shared" si="15"/>
        <v/>
      </c>
      <c r="W27" s="29" t="str">
        <f t="shared" si="15"/>
        <v/>
      </c>
      <c r="X27" s="29" t="str">
        <f t="shared" si="15"/>
        <v/>
      </c>
      <c r="Y27" s="29" t="str">
        <f t="shared" si="15"/>
        <v/>
      </c>
      <c r="Z27" s="29" t="str">
        <f t="shared" si="15"/>
        <v/>
      </c>
      <c r="AA27" s="29" t="str">
        <f t="shared" si="15"/>
        <v/>
      </c>
      <c r="AB27" s="29" t="str">
        <f t="shared" si="15"/>
        <v/>
      </c>
      <c r="AC27" s="29" t="str">
        <f t="shared" si="15"/>
        <v/>
      </c>
      <c r="AD27" s="29" t="str">
        <f t="shared" si="15"/>
        <v/>
      </c>
      <c r="AE27" s="29" t="str">
        <f t="shared" si="15"/>
        <v/>
      </c>
      <c r="AF27" s="29" t="str">
        <f t="shared" si="15"/>
        <v/>
      </c>
      <c r="AG27" s="29" t="str">
        <f t="shared" si="15"/>
        <v/>
      </c>
      <c r="AH27" s="29" t="str">
        <f t="shared" si="15"/>
        <v/>
      </c>
      <c r="AI27" s="29" t="str">
        <f t="shared" si="15"/>
        <v/>
      </c>
      <c r="AJ27" s="29" t="str">
        <f t="shared" si="15"/>
        <v/>
      </c>
      <c r="AK27" s="29" t="str">
        <f t="shared" si="15"/>
        <v/>
      </c>
      <c r="AL27" s="29" t="str">
        <f t="shared" si="15"/>
        <v/>
      </c>
      <c r="AM27" s="29" t="str">
        <f t="shared" si="15"/>
        <v/>
      </c>
      <c r="AN27" s="29" t="str">
        <f t="shared" si="15"/>
        <v/>
      </c>
      <c r="AO27" s="29" t="str">
        <f t="shared" si="15"/>
        <v/>
      </c>
      <c r="AP27" s="29" t="str">
        <f t="shared" si="15"/>
        <v/>
      </c>
      <c r="AQ27" s="29" t="str">
        <f t="shared" si="15"/>
        <v/>
      </c>
      <c r="AR27" s="29" t="str">
        <f t="shared" si="15"/>
        <v/>
      </c>
      <c r="AS27" s="29" t="str">
        <f t="shared" si="15"/>
        <v/>
      </c>
      <c r="AT27" s="29" t="str">
        <f t="shared" si="15"/>
        <v/>
      </c>
      <c r="AU27" s="29" t="str">
        <f t="shared" si="15"/>
        <v/>
      </c>
      <c r="AV27" s="29" t="str">
        <f t="shared" si="15"/>
        <v/>
      </c>
      <c r="AW27" s="29" t="str">
        <f t="shared" si="15"/>
        <v/>
      </c>
      <c r="AX27" s="29" t="str">
        <f t="shared" si="15"/>
        <v/>
      </c>
      <c r="AY27" s="29" t="str">
        <f t="shared" si="15"/>
        <v/>
      </c>
      <c r="AZ27" s="29" t="str">
        <f t="shared" si="15"/>
        <v/>
      </c>
      <c r="BA27" s="29" t="str">
        <f t="shared" si="15"/>
        <v/>
      </c>
      <c r="BB27" s="29" t="str">
        <f t="shared" si="15"/>
        <v/>
      </c>
      <c r="BC27" s="29" t="str">
        <f t="shared" si="15"/>
        <v/>
      </c>
      <c r="BD27" s="29" t="str">
        <f t="shared" si="15"/>
        <v/>
      </c>
      <c r="BE27" s="29" t="str">
        <f t="shared" si="15"/>
        <v/>
      </c>
      <c r="BF27" s="29" t="str">
        <f t="shared" si="15"/>
        <v/>
      </c>
      <c r="BG27" s="29" t="str">
        <f t="shared" si="15"/>
        <v/>
      </c>
      <c r="BH27" s="29" t="str">
        <f t="shared" si="15"/>
        <v/>
      </c>
      <c r="BI27" s="29" t="str">
        <f t="shared" si="15"/>
        <v/>
      </c>
      <c r="BJ27" s="29" t="str">
        <f t="shared" si="15"/>
        <v/>
      </c>
      <c r="BK27" s="29" t="str">
        <f t="shared" si="15"/>
        <v/>
      </c>
      <c r="BL27" s="29" t="str">
        <f t="shared" si="15"/>
        <v/>
      </c>
      <c r="BM27" s="29" t="str">
        <f t="shared" si="15"/>
        <v/>
      </c>
      <c r="BN27" s="29" t="str">
        <f t="shared" si="15"/>
        <v/>
      </c>
      <c r="BO27" s="29" t="str">
        <f t="shared" si="15"/>
        <v/>
      </c>
      <c r="BP27" s="29" t="str">
        <f t="shared" ref="BP27:CF27" si="16">BP21</f>
        <v/>
      </c>
      <c r="BQ27" s="29" t="str">
        <f t="shared" si="16"/>
        <v/>
      </c>
      <c r="BR27" s="29" t="str">
        <f t="shared" si="16"/>
        <v/>
      </c>
      <c r="BS27" s="29" t="str">
        <f t="shared" si="16"/>
        <v/>
      </c>
      <c r="BT27" s="29" t="str">
        <f t="shared" si="16"/>
        <v/>
      </c>
      <c r="BU27" s="29" t="str">
        <f t="shared" si="16"/>
        <v/>
      </c>
      <c r="BV27" s="29" t="str">
        <f t="shared" si="16"/>
        <v/>
      </c>
      <c r="BW27" s="29" t="str">
        <f t="shared" si="16"/>
        <v/>
      </c>
      <c r="BX27" s="29" t="str">
        <f t="shared" si="16"/>
        <v/>
      </c>
      <c r="BY27" s="29" t="str">
        <f t="shared" si="16"/>
        <v/>
      </c>
      <c r="BZ27" s="29" t="str">
        <f t="shared" si="16"/>
        <v/>
      </c>
      <c r="CA27" s="29" t="str">
        <f t="shared" si="16"/>
        <v/>
      </c>
      <c r="CB27" s="29" t="str">
        <f t="shared" si="16"/>
        <v/>
      </c>
      <c r="CC27" s="29" t="str">
        <f t="shared" si="16"/>
        <v/>
      </c>
      <c r="CD27" s="29" t="str">
        <f t="shared" si="16"/>
        <v/>
      </c>
      <c r="CE27" s="29" t="str">
        <f t="shared" si="16"/>
        <v/>
      </c>
      <c r="CF27" s="29" t="str">
        <f t="shared" si="16"/>
        <v/>
      </c>
    </row>
    <row r="28" spans="1:84">
      <c r="A28" s="29" t="s">
        <v>24</v>
      </c>
      <c r="B28" s="43">
        <v>0</v>
      </c>
      <c r="C28" s="43">
        <f t="shared" ref="C28:AH28" si="17">IF(B21&lt;保险期间,B39,"")</f>
        <v>125309.29829986696</v>
      </c>
      <c r="D28" s="43">
        <f t="shared" si="17"/>
        <v>248397.1208480635</v>
      </c>
      <c r="E28" s="43">
        <f t="shared" si="17"/>
        <v>367505.89904445823</v>
      </c>
      <c r="F28" s="43">
        <f t="shared" si="17"/>
        <v>480748.00835533405</v>
      </c>
      <c r="G28" s="43">
        <f t="shared" si="17"/>
        <v>586373.26612960349</v>
      </c>
      <c r="H28" s="43">
        <f t="shared" si="17"/>
        <v>502410.84399025346</v>
      </c>
      <c r="I28" s="43">
        <f t="shared" si="17"/>
        <v>402866.42358023365</v>
      </c>
      <c r="J28" s="43">
        <f t="shared" si="17"/>
        <v>286690.35860271048</v>
      </c>
      <c r="K28" s="43">
        <f t="shared" si="17"/>
        <v>152809.7611774166</v>
      </c>
      <c r="L28" s="43" t="str">
        <f t="shared" si="17"/>
        <v/>
      </c>
      <c r="M28" s="43" t="str">
        <f t="shared" si="17"/>
        <v/>
      </c>
      <c r="N28" s="43" t="str">
        <f t="shared" si="17"/>
        <v/>
      </c>
      <c r="O28" s="43" t="str">
        <f t="shared" si="17"/>
        <v/>
      </c>
      <c r="P28" s="43" t="str">
        <f t="shared" si="17"/>
        <v/>
      </c>
      <c r="Q28" s="43" t="str">
        <f t="shared" si="17"/>
        <v/>
      </c>
      <c r="R28" s="43" t="str">
        <f t="shared" si="17"/>
        <v/>
      </c>
      <c r="S28" s="43" t="str">
        <f t="shared" si="17"/>
        <v/>
      </c>
      <c r="T28" s="43" t="str">
        <f t="shared" si="17"/>
        <v/>
      </c>
      <c r="U28" s="43" t="str">
        <f t="shared" si="17"/>
        <v/>
      </c>
      <c r="V28" s="43" t="str">
        <f t="shared" si="17"/>
        <v/>
      </c>
      <c r="W28" s="43" t="str">
        <f t="shared" si="17"/>
        <v/>
      </c>
      <c r="X28" s="43" t="str">
        <f t="shared" si="17"/>
        <v/>
      </c>
      <c r="Y28" s="43" t="str">
        <f t="shared" si="17"/>
        <v/>
      </c>
      <c r="Z28" s="43" t="str">
        <f t="shared" si="17"/>
        <v/>
      </c>
      <c r="AA28" s="43" t="str">
        <f t="shared" si="17"/>
        <v/>
      </c>
      <c r="AB28" s="43" t="str">
        <f t="shared" si="17"/>
        <v/>
      </c>
      <c r="AC28" s="43" t="str">
        <f t="shared" si="17"/>
        <v/>
      </c>
      <c r="AD28" s="43" t="str">
        <f t="shared" si="17"/>
        <v/>
      </c>
      <c r="AE28" s="43" t="str">
        <f t="shared" si="17"/>
        <v/>
      </c>
      <c r="AF28" s="43" t="str">
        <f t="shared" si="17"/>
        <v/>
      </c>
      <c r="AG28" s="43" t="str">
        <f t="shared" si="17"/>
        <v/>
      </c>
      <c r="AH28" s="43" t="str">
        <f t="shared" si="17"/>
        <v/>
      </c>
      <c r="AI28" s="43" t="str">
        <f t="shared" ref="AI28:BN28" si="18">IF(AH21&lt;保险期间,AH39,"")</f>
        <v/>
      </c>
      <c r="AJ28" s="43" t="str">
        <f t="shared" si="18"/>
        <v/>
      </c>
      <c r="AK28" s="43" t="str">
        <f t="shared" si="18"/>
        <v/>
      </c>
      <c r="AL28" s="43" t="str">
        <f t="shared" si="18"/>
        <v/>
      </c>
      <c r="AM28" s="43" t="str">
        <f t="shared" si="18"/>
        <v/>
      </c>
      <c r="AN28" s="43" t="str">
        <f t="shared" si="18"/>
        <v/>
      </c>
      <c r="AO28" s="43" t="str">
        <f t="shared" si="18"/>
        <v/>
      </c>
      <c r="AP28" s="43" t="str">
        <f t="shared" si="18"/>
        <v/>
      </c>
      <c r="AQ28" s="43" t="str">
        <f t="shared" si="18"/>
        <v/>
      </c>
      <c r="AR28" s="43" t="str">
        <f t="shared" si="18"/>
        <v/>
      </c>
      <c r="AS28" s="43" t="str">
        <f t="shared" si="18"/>
        <v/>
      </c>
      <c r="AT28" s="43" t="str">
        <f t="shared" si="18"/>
        <v/>
      </c>
      <c r="AU28" s="43" t="str">
        <f t="shared" si="18"/>
        <v/>
      </c>
      <c r="AV28" s="43" t="str">
        <f t="shared" si="18"/>
        <v/>
      </c>
      <c r="AW28" s="43" t="str">
        <f t="shared" si="18"/>
        <v/>
      </c>
      <c r="AX28" s="43" t="str">
        <f t="shared" si="18"/>
        <v/>
      </c>
      <c r="AY28" s="43" t="str">
        <f t="shared" si="18"/>
        <v/>
      </c>
      <c r="AZ28" s="43" t="str">
        <f t="shared" si="18"/>
        <v/>
      </c>
      <c r="BA28" s="43" t="str">
        <f t="shared" si="18"/>
        <v/>
      </c>
      <c r="BB28" s="43" t="str">
        <f t="shared" si="18"/>
        <v/>
      </c>
      <c r="BC28" s="43" t="str">
        <f t="shared" si="18"/>
        <v/>
      </c>
      <c r="BD28" s="43" t="str">
        <f t="shared" si="18"/>
        <v/>
      </c>
      <c r="BE28" s="43" t="str">
        <f t="shared" si="18"/>
        <v/>
      </c>
      <c r="BF28" s="43" t="str">
        <f t="shared" si="18"/>
        <v/>
      </c>
      <c r="BG28" s="43" t="str">
        <f t="shared" si="18"/>
        <v/>
      </c>
      <c r="BH28" s="43" t="str">
        <f t="shared" si="18"/>
        <v/>
      </c>
      <c r="BI28" s="43" t="str">
        <f t="shared" si="18"/>
        <v/>
      </c>
      <c r="BJ28" s="43" t="str">
        <f t="shared" si="18"/>
        <v/>
      </c>
      <c r="BK28" s="43" t="str">
        <f t="shared" si="18"/>
        <v/>
      </c>
      <c r="BL28" s="43" t="str">
        <f t="shared" si="18"/>
        <v/>
      </c>
      <c r="BM28" s="43" t="str">
        <f t="shared" si="18"/>
        <v/>
      </c>
      <c r="BN28" s="43" t="str">
        <f t="shared" si="18"/>
        <v/>
      </c>
      <c r="BO28" s="43" t="str">
        <f t="shared" ref="BO28:CF28" si="19">IF(BN21&lt;保险期间,BN39,"")</f>
        <v/>
      </c>
      <c r="BP28" s="43" t="str">
        <f t="shared" si="19"/>
        <v/>
      </c>
      <c r="BQ28" s="43" t="str">
        <f t="shared" si="19"/>
        <v/>
      </c>
      <c r="BR28" s="43" t="str">
        <f t="shared" si="19"/>
        <v/>
      </c>
      <c r="BS28" s="43" t="str">
        <f t="shared" si="19"/>
        <v/>
      </c>
      <c r="BT28" s="43" t="str">
        <f t="shared" si="19"/>
        <v/>
      </c>
      <c r="BU28" s="43" t="str">
        <f t="shared" si="19"/>
        <v/>
      </c>
      <c r="BV28" s="43" t="str">
        <f t="shared" si="19"/>
        <v/>
      </c>
      <c r="BW28" s="43" t="str">
        <f t="shared" si="19"/>
        <v/>
      </c>
      <c r="BX28" s="43" t="str">
        <f t="shared" si="19"/>
        <v/>
      </c>
      <c r="BY28" s="43" t="str">
        <f t="shared" si="19"/>
        <v/>
      </c>
      <c r="BZ28" s="43" t="str">
        <f t="shared" si="19"/>
        <v/>
      </c>
      <c r="CA28" s="43" t="str">
        <f t="shared" si="19"/>
        <v/>
      </c>
      <c r="CB28" s="43" t="str">
        <f t="shared" si="19"/>
        <v/>
      </c>
      <c r="CC28" s="43" t="str">
        <f t="shared" si="19"/>
        <v/>
      </c>
      <c r="CD28" s="43" t="str">
        <f t="shared" si="19"/>
        <v/>
      </c>
      <c r="CE28" s="43" t="str">
        <f t="shared" si="19"/>
        <v/>
      </c>
      <c r="CF28" s="43" t="str">
        <f t="shared" si="19"/>
        <v/>
      </c>
    </row>
    <row r="29" spans="1:84">
      <c r="A29" s="29" t="s">
        <v>25</v>
      </c>
      <c r="B29" s="43">
        <f>期初保单数</f>
        <v>10000</v>
      </c>
      <c r="C29" s="43">
        <f t="shared" ref="C29:AH29" si="20">IF(B21&lt;保险期间,B36,"")</f>
        <v>9937.5640000000003</v>
      </c>
      <c r="D29" s="43">
        <f t="shared" si="20"/>
        <v>9869.0663588608004</v>
      </c>
      <c r="E29" s="43">
        <f t="shared" si="20"/>
        <v>9792.9521714747225</v>
      </c>
      <c r="F29" s="43">
        <f t="shared" si="20"/>
        <v>9707.6359721568351</v>
      </c>
      <c r="G29" s="43">
        <f t="shared" si="20"/>
        <v>9611.7750084589807</v>
      </c>
      <c r="H29" s="43">
        <f t="shared" si="20"/>
        <v>9504.3576556744465</v>
      </c>
      <c r="I29" s="43">
        <f t="shared" si="20"/>
        <v>9384.7168015048173</v>
      </c>
      <c r="J29" s="43">
        <f t="shared" si="20"/>
        <v>9252.4260795840855</v>
      </c>
      <c r="K29" s="43">
        <f t="shared" si="20"/>
        <v>9107.0778678146835</v>
      </c>
      <c r="L29" s="43" t="str">
        <f t="shared" si="20"/>
        <v/>
      </c>
      <c r="M29" s="43" t="str">
        <f t="shared" si="20"/>
        <v/>
      </c>
      <c r="N29" s="43" t="str">
        <f t="shared" si="20"/>
        <v/>
      </c>
      <c r="O29" s="43" t="str">
        <f t="shared" si="20"/>
        <v/>
      </c>
      <c r="P29" s="43" t="str">
        <f t="shared" si="20"/>
        <v/>
      </c>
      <c r="Q29" s="43" t="str">
        <f t="shared" si="20"/>
        <v/>
      </c>
      <c r="R29" s="43" t="str">
        <f t="shared" si="20"/>
        <v/>
      </c>
      <c r="S29" s="43" t="str">
        <f t="shared" si="20"/>
        <v/>
      </c>
      <c r="T29" s="43" t="str">
        <f t="shared" si="20"/>
        <v/>
      </c>
      <c r="U29" s="43" t="str">
        <f t="shared" si="20"/>
        <v/>
      </c>
      <c r="V29" s="43" t="str">
        <f t="shared" si="20"/>
        <v/>
      </c>
      <c r="W29" s="43" t="str">
        <f t="shared" si="20"/>
        <v/>
      </c>
      <c r="X29" s="43" t="str">
        <f t="shared" si="20"/>
        <v/>
      </c>
      <c r="Y29" s="43" t="str">
        <f t="shared" si="20"/>
        <v/>
      </c>
      <c r="Z29" s="43" t="str">
        <f t="shared" si="20"/>
        <v/>
      </c>
      <c r="AA29" s="43" t="str">
        <f t="shared" si="20"/>
        <v/>
      </c>
      <c r="AB29" s="43" t="str">
        <f t="shared" si="20"/>
        <v/>
      </c>
      <c r="AC29" s="43" t="str">
        <f t="shared" si="20"/>
        <v/>
      </c>
      <c r="AD29" s="43" t="str">
        <f t="shared" si="20"/>
        <v/>
      </c>
      <c r="AE29" s="43" t="str">
        <f t="shared" si="20"/>
        <v/>
      </c>
      <c r="AF29" s="43" t="str">
        <f t="shared" si="20"/>
        <v/>
      </c>
      <c r="AG29" s="43" t="str">
        <f t="shared" si="20"/>
        <v/>
      </c>
      <c r="AH29" s="43" t="str">
        <f t="shared" si="20"/>
        <v/>
      </c>
      <c r="AI29" s="43" t="str">
        <f t="shared" ref="AI29:BN29" si="21">IF(AH21&lt;保险期间,AH36,"")</f>
        <v/>
      </c>
      <c r="AJ29" s="43" t="str">
        <f t="shared" si="21"/>
        <v/>
      </c>
      <c r="AK29" s="43" t="str">
        <f t="shared" si="21"/>
        <v/>
      </c>
      <c r="AL29" s="43" t="str">
        <f t="shared" si="21"/>
        <v/>
      </c>
      <c r="AM29" s="43" t="str">
        <f t="shared" si="21"/>
        <v/>
      </c>
      <c r="AN29" s="43" t="str">
        <f t="shared" si="21"/>
        <v/>
      </c>
      <c r="AO29" s="43" t="str">
        <f t="shared" si="21"/>
        <v/>
      </c>
      <c r="AP29" s="43" t="str">
        <f t="shared" si="21"/>
        <v/>
      </c>
      <c r="AQ29" s="43" t="str">
        <f t="shared" si="21"/>
        <v/>
      </c>
      <c r="AR29" s="43" t="str">
        <f t="shared" si="21"/>
        <v/>
      </c>
      <c r="AS29" s="43" t="str">
        <f t="shared" si="21"/>
        <v/>
      </c>
      <c r="AT29" s="43" t="str">
        <f t="shared" si="21"/>
        <v/>
      </c>
      <c r="AU29" s="43" t="str">
        <f t="shared" si="21"/>
        <v/>
      </c>
      <c r="AV29" s="43" t="str">
        <f t="shared" si="21"/>
        <v/>
      </c>
      <c r="AW29" s="43" t="str">
        <f t="shared" si="21"/>
        <v/>
      </c>
      <c r="AX29" s="43" t="str">
        <f t="shared" si="21"/>
        <v/>
      </c>
      <c r="AY29" s="43" t="str">
        <f t="shared" si="21"/>
        <v/>
      </c>
      <c r="AZ29" s="43" t="str">
        <f t="shared" si="21"/>
        <v/>
      </c>
      <c r="BA29" s="43" t="str">
        <f t="shared" si="21"/>
        <v/>
      </c>
      <c r="BB29" s="43" t="str">
        <f t="shared" si="21"/>
        <v/>
      </c>
      <c r="BC29" s="43" t="str">
        <f t="shared" si="21"/>
        <v/>
      </c>
      <c r="BD29" s="43" t="str">
        <f t="shared" si="21"/>
        <v/>
      </c>
      <c r="BE29" s="43" t="str">
        <f t="shared" si="21"/>
        <v/>
      </c>
      <c r="BF29" s="43" t="str">
        <f t="shared" si="21"/>
        <v/>
      </c>
      <c r="BG29" s="43" t="str">
        <f t="shared" si="21"/>
        <v/>
      </c>
      <c r="BH29" s="43" t="str">
        <f t="shared" si="21"/>
        <v/>
      </c>
      <c r="BI29" s="43" t="str">
        <f t="shared" si="21"/>
        <v/>
      </c>
      <c r="BJ29" s="43" t="str">
        <f t="shared" si="21"/>
        <v/>
      </c>
      <c r="BK29" s="43" t="str">
        <f t="shared" si="21"/>
        <v/>
      </c>
      <c r="BL29" s="43" t="str">
        <f t="shared" si="21"/>
        <v/>
      </c>
      <c r="BM29" s="43" t="str">
        <f t="shared" si="21"/>
        <v/>
      </c>
      <c r="BN29" s="43" t="str">
        <f t="shared" si="21"/>
        <v/>
      </c>
      <c r="BO29" s="43" t="str">
        <f t="shared" ref="BO29:CF29" si="22">IF(BN21&lt;保险期间,BN36,"")</f>
        <v/>
      </c>
      <c r="BP29" s="43" t="str">
        <f t="shared" si="22"/>
        <v/>
      </c>
      <c r="BQ29" s="43" t="str">
        <f t="shared" si="22"/>
        <v/>
      </c>
      <c r="BR29" s="43" t="str">
        <f t="shared" si="22"/>
        <v/>
      </c>
      <c r="BS29" s="43" t="str">
        <f t="shared" si="22"/>
        <v/>
      </c>
      <c r="BT29" s="43" t="str">
        <f t="shared" si="22"/>
        <v/>
      </c>
      <c r="BU29" s="43" t="str">
        <f t="shared" si="22"/>
        <v/>
      </c>
      <c r="BV29" s="43" t="str">
        <f t="shared" si="22"/>
        <v/>
      </c>
      <c r="BW29" s="43" t="str">
        <f t="shared" si="22"/>
        <v/>
      </c>
      <c r="BX29" s="43" t="str">
        <f t="shared" si="22"/>
        <v/>
      </c>
      <c r="BY29" s="43" t="str">
        <f t="shared" si="22"/>
        <v/>
      </c>
      <c r="BZ29" s="43" t="str">
        <f t="shared" si="22"/>
        <v/>
      </c>
      <c r="CA29" s="43" t="str">
        <f t="shared" si="22"/>
        <v/>
      </c>
      <c r="CB29" s="43" t="str">
        <f t="shared" si="22"/>
        <v/>
      </c>
      <c r="CC29" s="43" t="str">
        <f t="shared" si="22"/>
        <v/>
      </c>
      <c r="CD29" s="43" t="str">
        <f t="shared" si="22"/>
        <v/>
      </c>
      <c r="CE29" s="43" t="str">
        <f t="shared" si="22"/>
        <v/>
      </c>
      <c r="CF29" s="43" t="str">
        <f t="shared" si="22"/>
        <v/>
      </c>
    </row>
    <row r="30" spans="1:84">
      <c r="A30" s="29" t="s">
        <v>27</v>
      </c>
      <c r="B30" s="43">
        <f>B29*净保费*B24</f>
        <v>180524.32528833361</v>
      </c>
      <c r="C30" s="43">
        <f t="shared" ref="C30:AH30" si="23">IF(B21&lt;保险期间,C29*净保费*C24,"")</f>
        <v>179397.20361096336</v>
      </c>
      <c r="D30" s="43">
        <f t="shared" si="23"/>
        <v>178160.65456591372</v>
      </c>
      <c r="E30" s="43">
        <f t="shared" si="23"/>
        <v>176786.60833363957</v>
      </c>
      <c r="F30" s="43">
        <f t="shared" si="23"/>
        <v>175246.44340183691</v>
      </c>
      <c r="G30" s="43">
        <f t="shared" si="23"/>
        <v>0</v>
      </c>
      <c r="H30" s="43">
        <f t="shared" si="23"/>
        <v>0</v>
      </c>
      <c r="I30" s="43">
        <f t="shared" si="23"/>
        <v>0</v>
      </c>
      <c r="J30" s="43">
        <f t="shared" si="23"/>
        <v>0</v>
      </c>
      <c r="K30" s="43">
        <f t="shared" si="23"/>
        <v>0</v>
      </c>
      <c r="L30" s="43" t="str">
        <f t="shared" si="23"/>
        <v/>
      </c>
      <c r="M30" s="43" t="str">
        <f t="shared" si="23"/>
        <v/>
      </c>
      <c r="N30" s="43" t="str">
        <f t="shared" si="23"/>
        <v/>
      </c>
      <c r="O30" s="43" t="str">
        <f t="shared" si="23"/>
        <v/>
      </c>
      <c r="P30" s="43" t="str">
        <f t="shared" si="23"/>
        <v/>
      </c>
      <c r="Q30" s="43" t="str">
        <f t="shared" si="23"/>
        <v/>
      </c>
      <c r="R30" s="43" t="str">
        <f t="shared" si="23"/>
        <v/>
      </c>
      <c r="S30" s="43" t="str">
        <f t="shared" si="23"/>
        <v/>
      </c>
      <c r="T30" s="43" t="str">
        <f t="shared" si="23"/>
        <v/>
      </c>
      <c r="U30" s="43" t="str">
        <f t="shared" si="23"/>
        <v/>
      </c>
      <c r="V30" s="43" t="str">
        <f t="shared" si="23"/>
        <v/>
      </c>
      <c r="W30" s="43" t="str">
        <f t="shared" si="23"/>
        <v/>
      </c>
      <c r="X30" s="43" t="str">
        <f t="shared" si="23"/>
        <v/>
      </c>
      <c r="Y30" s="43" t="str">
        <f t="shared" si="23"/>
        <v/>
      </c>
      <c r="Z30" s="43" t="str">
        <f t="shared" si="23"/>
        <v/>
      </c>
      <c r="AA30" s="43" t="str">
        <f t="shared" si="23"/>
        <v/>
      </c>
      <c r="AB30" s="43" t="str">
        <f t="shared" si="23"/>
        <v/>
      </c>
      <c r="AC30" s="43" t="str">
        <f t="shared" si="23"/>
        <v/>
      </c>
      <c r="AD30" s="43" t="str">
        <f t="shared" si="23"/>
        <v/>
      </c>
      <c r="AE30" s="43" t="str">
        <f t="shared" si="23"/>
        <v/>
      </c>
      <c r="AF30" s="43" t="str">
        <f t="shared" si="23"/>
        <v/>
      </c>
      <c r="AG30" s="43" t="str">
        <f t="shared" si="23"/>
        <v/>
      </c>
      <c r="AH30" s="43" t="str">
        <f t="shared" si="23"/>
        <v/>
      </c>
      <c r="AI30" s="43" t="str">
        <f t="shared" ref="AI30:BN30" si="24">IF(AH21&lt;保险期间,AI29*净保费*AI24,"")</f>
        <v/>
      </c>
      <c r="AJ30" s="43" t="str">
        <f t="shared" si="24"/>
        <v/>
      </c>
      <c r="AK30" s="43" t="str">
        <f t="shared" si="24"/>
        <v/>
      </c>
      <c r="AL30" s="43" t="str">
        <f t="shared" si="24"/>
        <v/>
      </c>
      <c r="AM30" s="43" t="str">
        <f t="shared" si="24"/>
        <v/>
      </c>
      <c r="AN30" s="43" t="str">
        <f t="shared" si="24"/>
        <v/>
      </c>
      <c r="AO30" s="43" t="str">
        <f t="shared" si="24"/>
        <v/>
      </c>
      <c r="AP30" s="43" t="str">
        <f t="shared" si="24"/>
        <v/>
      </c>
      <c r="AQ30" s="43" t="str">
        <f t="shared" si="24"/>
        <v/>
      </c>
      <c r="AR30" s="43" t="str">
        <f t="shared" si="24"/>
        <v/>
      </c>
      <c r="AS30" s="43" t="str">
        <f t="shared" si="24"/>
        <v/>
      </c>
      <c r="AT30" s="43" t="str">
        <f t="shared" si="24"/>
        <v/>
      </c>
      <c r="AU30" s="43" t="str">
        <f t="shared" si="24"/>
        <v/>
      </c>
      <c r="AV30" s="43" t="str">
        <f t="shared" si="24"/>
        <v/>
      </c>
      <c r="AW30" s="43" t="str">
        <f t="shared" si="24"/>
        <v/>
      </c>
      <c r="AX30" s="43" t="str">
        <f t="shared" si="24"/>
        <v/>
      </c>
      <c r="AY30" s="43" t="str">
        <f t="shared" si="24"/>
        <v/>
      </c>
      <c r="AZ30" s="43" t="str">
        <f t="shared" si="24"/>
        <v/>
      </c>
      <c r="BA30" s="43" t="str">
        <f t="shared" si="24"/>
        <v/>
      </c>
      <c r="BB30" s="43" t="str">
        <f t="shared" si="24"/>
        <v/>
      </c>
      <c r="BC30" s="43" t="str">
        <f t="shared" si="24"/>
        <v/>
      </c>
      <c r="BD30" s="43" t="str">
        <f t="shared" si="24"/>
        <v/>
      </c>
      <c r="BE30" s="43" t="str">
        <f t="shared" si="24"/>
        <v/>
      </c>
      <c r="BF30" s="43" t="str">
        <f t="shared" si="24"/>
        <v/>
      </c>
      <c r="BG30" s="43" t="str">
        <f t="shared" si="24"/>
        <v/>
      </c>
      <c r="BH30" s="43" t="str">
        <f t="shared" si="24"/>
        <v/>
      </c>
      <c r="BI30" s="43" t="str">
        <f t="shared" si="24"/>
        <v/>
      </c>
      <c r="BJ30" s="43" t="str">
        <f t="shared" si="24"/>
        <v/>
      </c>
      <c r="BK30" s="43" t="str">
        <f t="shared" si="24"/>
        <v/>
      </c>
      <c r="BL30" s="43" t="str">
        <f t="shared" si="24"/>
        <v/>
      </c>
      <c r="BM30" s="43" t="str">
        <f t="shared" si="24"/>
        <v/>
      </c>
      <c r="BN30" s="43" t="str">
        <f t="shared" si="24"/>
        <v/>
      </c>
      <c r="BO30" s="43" t="str">
        <f t="shared" ref="BO30:CF30" si="25">IF(BN21&lt;保险期间,BO29*净保费*BO24,"")</f>
        <v/>
      </c>
      <c r="BP30" s="43" t="str">
        <f t="shared" si="25"/>
        <v/>
      </c>
      <c r="BQ30" s="43" t="str">
        <f t="shared" si="25"/>
        <v/>
      </c>
      <c r="BR30" s="43" t="str">
        <f t="shared" si="25"/>
        <v/>
      </c>
      <c r="BS30" s="43" t="str">
        <f t="shared" si="25"/>
        <v/>
      </c>
      <c r="BT30" s="43" t="str">
        <f t="shared" si="25"/>
        <v/>
      </c>
      <c r="BU30" s="43" t="str">
        <f t="shared" si="25"/>
        <v/>
      </c>
      <c r="BV30" s="43" t="str">
        <f t="shared" si="25"/>
        <v/>
      </c>
      <c r="BW30" s="43" t="str">
        <f t="shared" si="25"/>
        <v/>
      </c>
      <c r="BX30" s="43" t="str">
        <f t="shared" si="25"/>
        <v/>
      </c>
      <c r="BY30" s="43" t="str">
        <f t="shared" si="25"/>
        <v/>
      </c>
      <c r="BZ30" s="43" t="str">
        <f t="shared" si="25"/>
        <v/>
      </c>
      <c r="CA30" s="43" t="str">
        <f t="shared" si="25"/>
        <v/>
      </c>
      <c r="CB30" s="43" t="str">
        <f t="shared" si="25"/>
        <v/>
      </c>
      <c r="CC30" s="43" t="str">
        <f t="shared" si="25"/>
        <v/>
      </c>
      <c r="CD30" s="43" t="str">
        <f t="shared" si="25"/>
        <v/>
      </c>
      <c r="CE30" s="43" t="str">
        <f t="shared" si="25"/>
        <v/>
      </c>
      <c r="CF30" s="43" t="str">
        <f t="shared" si="25"/>
        <v/>
      </c>
    </row>
    <row r="31" spans="1:84">
      <c r="A31" s="29" t="s">
        <v>28</v>
      </c>
      <c r="B31" s="43">
        <f>B28+B30</f>
        <v>180524.32528833361</v>
      </c>
      <c r="C31" s="43">
        <f t="shared" ref="C31:AH31" si="26">IF(B21&lt;保险期间,C28+C30,"")</f>
        <v>304706.50191083032</v>
      </c>
      <c r="D31" s="43">
        <f t="shared" si="26"/>
        <v>426557.77541397722</v>
      </c>
      <c r="E31" s="43">
        <f t="shared" si="26"/>
        <v>544292.50737809786</v>
      </c>
      <c r="F31" s="43">
        <f t="shared" si="26"/>
        <v>655994.45175717096</v>
      </c>
      <c r="G31" s="43">
        <f t="shared" si="26"/>
        <v>586373.26612960349</v>
      </c>
      <c r="H31" s="43">
        <f t="shared" si="26"/>
        <v>502410.84399025346</v>
      </c>
      <c r="I31" s="43">
        <f t="shared" si="26"/>
        <v>402866.42358023365</v>
      </c>
      <c r="J31" s="43">
        <f t="shared" si="26"/>
        <v>286690.35860271048</v>
      </c>
      <c r="K31" s="43">
        <f t="shared" si="26"/>
        <v>152809.7611774166</v>
      </c>
      <c r="L31" s="43" t="str">
        <f t="shared" si="26"/>
        <v/>
      </c>
      <c r="M31" s="43" t="str">
        <f t="shared" si="26"/>
        <v/>
      </c>
      <c r="N31" s="43" t="str">
        <f t="shared" si="26"/>
        <v/>
      </c>
      <c r="O31" s="43" t="str">
        <f t="shared" si="26"/>
        <v/>
      </c>
      <c r="P31" s="43" t="str">
        <f t="shared" si="26"/>
        <v/>
      </c>
      <c r="Q31" s="43" t="str">
        <f t="shared" si="26"/>
        <v/>
      </c>
      <c r="R31" s="43" t="str">
        <f t="shared" si="26"/>
        <v/>
      </c>
      <c r="S31" s="43" t="str">
        <f t="shared" si="26"/>
        <v/>
      </c>
      <c r="T31" s="43" t="str">
        <f t="shared" si="26"/>
        <v/>
      </c>
      <c r="U31" s="43" t="str">
        <f t="shared" si="26"/>
        <v/>
      </c>
      <c r="V31" s="43" t="str">
        <f t="shared" si="26"/>
        <v/>
      </c>
      <c r="W31" s="43" t="str">
        <f t="shared" si="26"/>
        <v/>
      </c>
      <c r="X31" s="43" t="str">
        <f t="shared" si="26"/>
        <v/>
      </c>
      <c r="Y31" s="43" t="str">
        <f t="shared" si="26"/>
        <v/>
      </c>
      <c r="Z31" s="43" t="str">
        <f t="shared" si="26"/>
        <v/>
      </c>
      <c r="AA31" s="43" t="str">
        <f t="shared" si="26"/>
        <v/>
      </c>
      <c r="AB31" s="43" t="str">
        <f t="shared" si="26"/>
        <v/>
      </c>
      <c r="AC31" s="43" t="str">
        <f t="shared" si="26"/>
        <v/>
      </c>
      <c r="AD31" s="43" t="str">
        <f t="shared" si="26"/>
        <v/>
      </c>
      <c r="AE31" s="43" t="str">
        <f t="shared" si="26"/>
        <v/>
      </c>
      <c r="AF31" s="43" t="str">
        <f t="shared" si="26"/>
        <v/>
      </c>
      <c r="AG31" s="43" t="str">
        <f t="shared" si="26"/>
        <v/>
      </c>
      <c r="AH31" s="43" t="str">
        <f t="shared" si="26"/>
        <v/>
      </c>
      <c r="AI31" s="43" t="str">
        <f t="shared" ref="AI31:BN31" si="27">IF(AH21&lt;保险期间,AI28+AI30,"")</f>
        <v/>
      </c>
      <c r="AJ31" s="43" t="str">
        <f t="shared" si="27"/>
        <v/>
      </c>
      <c r="AK31" s="43" t="str">
        <f t="shared" si="27"/>
        <v/>
      </c>
      <c r="AL31" s="43" t="str">
        <f t="shared" si="27"/>
        <v/>
      </c>
      <c r="AM31" s="43" t="str">
        <f t="shared" si="27"/>
        <v/>
      </c>
      <c r="AN31" s="43" t="str">
        <f t="shared" si="27"/>
        <v/>
      </c>
      <c r="AO31" s="43" t="str">
        <f t="shared" si="27"/>
        <v/>
      </c>
      <c r="AP31" s="43" t="str">
        <f t="shared" si="27"/>
        <v/>
      </c>
      <c r="AQ31" s="43" t="str">
        <f t="shared" si="27"/>
        <v/>
      </c>
      <c r="AR31" s="43" t="str">
        <f t="shared" si="27"/>
        <v/>
      </c>
      <c r="AS31" s="43" t="str">
        <f t="shared" si="27"/>
        <v/>
      </c>
      <c r="AT31" s="43" t="str">
        <f t="shared" si="27"/>
        <v/>
      </c>
      <c r="AU31" s="43" t="str">
        <f t="shared" si="27"/>
        <v/>
      </c>
      <c r="AV31" s="43" t="str">
        <f t="shared" si="27"/>
        <v/>
      </c>
      <c r="AW31" s="43" t="str">
        <f t="shared" si="27"/>
        <v/>
      </c>
      <c r="AX31" s="43" t="str">
        <f t="shared" si="27"/>
        <v/>
      </c>
      <c r="AY31" s="43" t="str">
        <f t="shared" si="27"/>
        <v/>
      </c>
      <c r="AZ31" s="43" t="str">
        <f t="shared" si="27"/>
        <v/>
      </c>
      <c r="BA31" s="43" t="str">
        <f t="shared" si="27"/>
        <v/>
      </c>
      <c r="BB31" s="43" t="str">
        <f t="shared" si="27"/>
        <v/>
      </c>
      <c r="BC31" s="43" t="str">
        <f t="shared" si="27"/>
        <v/>
      </c>
      <c r="BD31" s="43" t="str">
        <f t="shared" si="27"/>
        <v/>
      </c>
      <c r="BE31" s="43" t="str">
        <f t="shared" si="27"/>
        <v/>
      </c>
      <c r="BF31" s="43" t="str">
        <f t="shared" si="27"/>
        <v/>
      </c>
      <c r="BG31" s="43" t="str">
        <f t="shared" si="27"/>
        <v/>
      </c>
      <c r="BH31" s="43" t="str">
        <f t="shared" si="27"/>
        <v/>
      </c>
      <c r="BI31" s="43" t="str">
        <f t="shared" si="27"/>
        <v/>
      </c>
      <c r="BJ31" s="43" t="str">
        <f t="shared" si="27"/>
        <v/>
      </c>
      <c r="BK31" s="43" t="str">
        <f t="shared" si="27"/>
        <v/>
      </c>
      <c r="BL31" s="43" t="str">
        <f t="shared" si="27"/>
        <v/>
      </c>
      <c r="BM31" s="43" t="str">
        <f t="shared" si="27"/>
        <v/>
      </c>
      <c r="BN31" s="43" t="str">
        <f t="shared" si="27"/>
        <v/>
      </c>
      <c r="BO31" s="43" t="str">
        <f t="shared" ref="BO31:CF31" si="28">IF(BN21&lt;保险期间,BO28+BO30,"")</f>
        <v/>
      </c>
      <c r="BP31" s="43" t="str">
        <f t="shared" si="28"/>
        <v/>
      </c>
      <c r="BQ31" s="43" t="str">
        <f t="shared" si="28"/>
        <v/>
      </c>
      <c r="BR31" s="43" t="str">
        <f t="shared" si="28"/>
        <v/>
      </c>
      <c r="BS31" s="43" t="str">
        <f t="shared" si="28"/>
        <v/>
      </c>
      <c r="BT31" s="43" t="str">
        <f t="shared" si="28"/>
        <v/>
      </c>
      <c r="BU31" s="43" t="str">
        <f t="shared" si="28"/>
        <v/>
      </c>
      <c r="BV31" s="43" t="str">
        <f t="shared" si="28"/>
        <v/>
      </c>
      <c r="BW31" s="43" t="str">
        <f t="shared" si="28"/>
        <v/>
      </c>
      <c r="BX31" s="43" t="str">
        <f t="shared" si="28"/>
        <v/>
      </c>
      <c r="BY31" s="43" t="str">
        <f t="shared" si="28"/>
        <v/>
      </c>
      <c r="BZ31" s="43" t="str">
        <f t="shared" si="28"/>
        <v/>
      </c>
      <c r="CA31" s="43" t="str">
        <f t="shared" si="28"/>
        <v/>
      </c>
      <c r="CB31" s="43" t="str">
        <f t="shared" si="28"/>
        <v/>
      </c>
      <c r="CC31" s="43" t="str">
        <f t="shared" si="28"/>
        <v/>
      </c>
      <c r="CD31" s="43" t="str">
        <f t="shared" si="28"/>
        <v/>
      </c>
      <c r="CE31" s="43" t="str">
        <f t="shared" si="28"/>
        <v/>
      </c>
      <c r="CF31" s="43" t="str">
        <f t="shared" si="28"/>
        <v/>
      </c>
    </row>
    <row r="32" spans="1:84">
      <c r="A32" s="29" t="s">
        <v>29</v>
      </c>
      <c r="B32" s="43">
        <f>B31*B23</f>
        <v>7220.9730115333441</v>
      </c>
      <c r="C32" s="43">
        <f t="shared" ref="C32:AH32" si="29">IF(B21&lt;保险期间,C31*C23,"")</f>
        <v>12188.260076433213</v>
      </c>
      <c r="D32" s="43">
        <f t="shared" si="29"/>
        <v>17062.311016559088</v>
      </c>
      <c r="E32" s="43">
        <f t="shared" si="29"/>
        <v>21771.700295123916</v>
      </c>
      <c r="F32" s="43">
        <f t="shared" si="29"/>
        <v>26239.77807028684</v>
      </c>
      <c r="G32" s="43">
        <f t="shared" si="29"/>
        <v>23454.93064518414</v>
      </c>
      <c r="H32" s="43">
        <f t="shared" si="29"/>
        <v>20096.43375961014</v>
      </c>
      <c r="I32" s="43">
        <f t="shared" si="29"/>
        <v>16114.656943209346</v>
      </c>
      <c r="J32" s="43">
        <f t="shared" si="29"/>
        <v>11467.614344108419</v>
      </c>
      <c r="K32" s="43">
        <f t="shared" si="29"/>
        <v>6112.3904470966645</v>
      </c>
      <c r="L32" s="43" t="str">
        <f t="shared" si="29"/>
        <v/>
      </c>
      <c r="M32" s="43" t="str">
        <f t="shared" si="29"/>
        <v/>
      </c>
      <c r="N32" s="43" t="str">
        <f t="shared" si="29"/>
        <v/>
      </c>
      <c r="O32" s="43" t="str">
        <f t="shared" si="29"/>
        <v/>
      </c>
      <c r="P32" s="43" t="str">
        <f t="shared" si="29"/>
        <v/>
      </c>
      <c r="Q32" s="43" t="str">
        <f t="shared" si="29"/>
        <v/>
      </c>
      <c r="R32" s="43" t="str">
        <f t="shared" si="29"/>
        <v/>
      </c>
      <c r="S32" s="43" t="str">
        <f t="shared" si="29"/>
        <v/>
      </c>
      <c r="T32" s="43" t="str">
        <f t="shared" si="29"/>
        <v/>
      </c>
      <c r="U32" s="43" t="str">
        <f t="shared" si="29"/>
        <v/>
      </c>
      <c r="V32" s="43" t="str">
        <f t="shared" si="29"/>
        <v/>
      </c>
      <c r="W32" s="43" t="str">
        <f t="shared" si="29"/>
        <v/>
      </c>
      <c r="X32" s="43" t="str">
        <f t="shared" si="29"/>
        <v/>
      </c>
      <c r="Y32" s="43" t="str">
        <f t="shared" si="29"/>
        <v/>
      </c>
      <c r="Z32" s="43" t="str">
        <f t="shared" si="29"/>
        <v/>
      </c>
      <c r="AA32" s="43" t="str">
        <f t="shared" si="29"/>
        <v/>
      </c>
      <c r="AB32" s="43" t="str">
        <f t="shared" si="29"/>
        <v/>
      </c>
      <c r="AC32" s="43" t="str">
        <f t="shared" si="29"/>
        <v/>
      </c>
      <c r="AD32" s="43" t="str">
        <f t="shared" si="29"/>
        <v/>
      </c>
      <c r="AE32" s="43" t="str">
        <f t="shared" si="29"/>
        <v/>
      </c>
      <c r="AF32" s="43" t="str">
        <f t="shared" si="29"/>
        <v/>
      </c>
      <c r="AG32" s="43" t="str">
        <f t="shared" si="29"/>
        <v/>
      </c>
      <c r="AH32" s="43" t="str">
        <f t="shared" si="29"/>
        <v/>
      </c>
      <c r="AI32" s="43" t="str">
        <f t="shared" ref="AI32:BN32" si="30">IF(AH21&lt;保险期间,AI31*AI23,"")</f>
        <v/>
      </c>
      <c r="AJ32" s="43" t="str">
        <f t="shared" si="30"/>
        <v/>
      </c>
      <c r="AK32" s="43" t="str">
        <f t="shared" si="30"/>
        <v/>
      </c>
      <c r="AL32" s="43" t="str">
        <f t="shared" si="30"/>
        <v/>
      </c>
      <c r="AM32" s="43" t="str">
        <f t="shared" si="30"/>
        <v/>
      </c>
      <c r="AN32" s="43" t="str">
        <f t="shared" si="30"/>
        <v/>
      </c>
      <c r="AO32" s="43" t="str">
        <f t="shared" si="30"/>
        <v/>
      </c>
      <c r="AP32" s="43" t="str">
        <f t="shared" si="30"/>
        <v/>
      </c>
      <c r="AQ32" s="43" t="str">
        <f t="shared" si="30"/>
        <v/>
      </c>
      <c r="AR32" s="43" t="str">
        <f t="shared" si="30"/>
        <v/>
      </c>
      <c r="AS32" s="43" t="str">
        <f t="shared" si="30"/>
        <v/>
      </c>
      <c r="AT32" s="43" t="str">
        <f t="shared" si="30"/>
        <v/>
      </c>
      <c r="AU32" s="43" t="str">
        <f t="shared" si="30"/>
        <v/>
      </c>
      <c r="AV32" s="43" t="str">
        <f t="shared" si="30"/>
        <v/>
      </c>
      <c r="AW32" s="43" t="str">
        <f t="shared" si="30"/>
        <v/>
      </c>
      <c r="AX32" s="43" t="str">
        <f t="shared" si="30"/>
        <v/>
      </c>
      <c r="AY32" s="43" t="str">
        <f t="shared" si="30"/>
        <v/>
      </c>
      <c r="AZ32" s="43" t="str">
        <f t="shared" si="30"/>
        <v/>
      </c>
      <c r="BA32" s="43" t="str">
        <f t="shared" si="30"/>
        <v/>
      </c>
      <c r="BB32" s="43" t="str">
        <f t="shared" si="30"/>
        <v/>
      </c>
      <c r="BC32" s="43" t="str">
        <f t="shared" si="30"/>
        <v/>
      </c>
      <c r="BD32" s="43" t="str">
        <f t="shared" si="30"/>
        <v/>
      </c>
      <c r="BE32" s="43" t="str">
        <f t="shared" si="30"/>
        <v/>
      </c>
      <c r="BF32" s="43" t="str">
        <f t="shared" si="30"/>
        <v/>
      </c>
      <c r="BG32" s="43" t="str">
        <f t="shared" si="30"/>
        <v/>
      </c>
      <c r="BH32" s="43" t="str">
        <f t="shared" si="30"/>
        <v/>
      </c>
      <c r="BI32" s="43" t="str">
        <f t="shared" si="30"/>
        <v/>
      </c>
      <c r="BJ32" s="43" t="str">
        <f t="shared" si="30"/>
        <v/>
      </c>
      <c r="BK32" s="43" t="str">
        <f t="shared" si="30"/>
        <v/>
      </c>
      <c r="BL32" s="43" t="str">
        <f t="shared" si="30"/>
        <v/>
      </c>
      <c r="BM32" s="43" t="str">
        <f t="shared" si="30"/>
        <v/>
      </c>
      <c r="BN32" s="43" t="str">
        <f t="shared" si="30"/>
        <v/>
      </c>
      <c r="BO32" s="43" t="str">
        <f t="shared" ref="BO32:CF32" si="31">IF(BN21&lt;保险期间,BO31*BO23,"")</f>
        <v/>
      </c>
      <c r="BP32" s="43" t="str">
        <f t="shared" si="31"/>
        <v/>
      </c>
      <c r="BQ32" s="43" t="str">
        <f t="shared" si="31"/>
        <v/>
      </c>
      <c r="BR32" s="43" t="str">
        <f t="shared" si="31"/>
        <v/>
      </c>
      <c r="BS32" s="43" t="str">
        <f t="shared" si="31"/>
        <v/>
      </c>
      <c r="BT32" s="43" t="str">
        <f t="shared" si="31"/>
        <v/>
      </c>
      <c r="BU32" s="43" t="str">
        <f t="shared" si="31"/>
        <v/>
      </c>
      <c r="BV32" s="43" t="str">
        <f t="shared" si="31"/>
        <v/>
      </c>
      <c r="BW32" s="43" t="str">
        <f t="shared" si="31"/>
        <v/>
      </c>
      <c r="BX32" s="43" t="str">
        <f t="shared" si="31"/>
        <v/>
      </c>
      <c r="BY32" s="43" t="str">
        <f t="shared" si="31"/>
        <v/>
      </c>
      <c r="BZ32" s="43" t="str">
        <f t="shared" si="31"/>
        <v/>
      </c>
      <c r="CA32" s="43" t="str">
        <f t="shared" si="31"/>
        <v/>
      </c>
      <c r="CB32" s="43" t="str">
        <f t="shared" si="31"/>
        <v/>
      </c>
      <c r="CC32" s="43" t="str">
        <f t="shared" si="31"/>
        <v/>
      </c>
      <c r="CD32" s="43" t="str">
        <f t="shared" si="31"/>
        <v/>
      </c>
      <c r="CE32" s="43" t="str">
        <f t="shared" si="31"/>
        <v/>
      </c>
      <c r="CF32" s="43" t="str">
        <f t="shared" si="31"/>
        <v/>
      </c>
    </row>
    <row r="33" spans="1:84">
      <c r="A33" s="29" t="s">
        <v>34</v>
      </c>
      <c r="B33" s="43">
        <f>B31+B32</f>
        <v>187745.29829986696</v>
      </c>
      <c r="C33" s="43">
        <f t="shared" ref="C33:AH33" si="32">IF(B21&lt;保险期间,C31+C32,"")</f>
        <v>316894.76198726351</v>
      </c>
      <c r="D33" s="43">
        <f t="shared" si="32"/>
        <v>443620.08643053629</v>
      </c>
      <c r="E33" s="43">
        <f t="shared" si="32"/>
        <v>566064.20767322183</v>
      </c>
      <c r="F33" s="43">
        <f t="shared" si="32"/>
        <v>682234.22982745781</v>
      </c>
      <c r="G33" s="43">
        <f t="shared" si="32"/>
        <v>609828.19677478762</v>
      </c>
      <c r="H33" s="43">
        <f t="shared" si="32"/>
        <v>522507.27774986357</v>
      </c>
      <c r="I33" s="43">
        <f t="shared" si="32"/>
        <v>418981.080523443</v>
      </c>
      <c r="J33" s="43">
        <f t="shared" si="32"/>
        <v>298157.97294681892</v>
      </c>
      <c r="K33" s="43">
        <f t="shared" si="32"/>
        <v>158922.15162451327</v>
      </c>
      <c r="L33" s="43" t="str">
        <f t="shared" si="32"/>
        <v/>
      </c>
      <c r="M33" s="43" t="str">
        <f t="shared" si="32"/>
        <v/>
      </c>
      <c r="N33" s="43" t="str">
        <f t="shared" si="32"/>
        <v/>
      </c>
      <c r="O33" s="43" t="str">
        <f t="shared" si="32"/>
        <v/>
      </c>
      <c r="P33" s="43" t="str">
        <f t="shared" si="32"/>
        <v/>
      </c>
      <c r="Q33" s="43" t="str">
        <f t="shared" si="32"/>
        <v/>
      </c>
      <c r="R33" s="43" t="str">
        <f t="shared" si="32"/>
        <v/>
      </c>
      <c r="S33" s="43" t="str">
        <f t="shared" si="32"/>
        <v/>
      </c>
      <c r="T33" s="43" t="str">
        <f t="shared" si="32"/>
        <v/>
      </c>
      <c r="U33" s="43" t="str">
        <f t="shared" si="32"/>
        <v/>
      </c>
      <c r="V33" s="43" t="str">
        <f t="shared" si="32"/>
        <v/>
      </c>
      <c r="W33" s="43" t="str">
        <f t="shared" si="32"/>
        <v/>
      </c>
      <c r="X33" s="43" t="str">
        <f t="shared" si="32"/>
        <v/>
      </c>
      <c r="Y33" s="43" t="str">
        <f t="shared" si="32"/>
        <v/>
      </c>
      <c r="Z33" s="43" t="str">
        <f t="shared" si="32"/>
        <v/>
      </c>
      <c r="AA33" s="43" t="str">
        <f t="shared" si="32"/>
        <v/>
      </c>
      <c r="AB33" s="43" t="str">
        <f t="shared" si="32"/>
        <v/>
      </c>
      <c r="AC33" s="43" t="str">
        <f t="shared" si="32"/>
        <v/>
      </c>
      <c r="AD33" s="43" t="str">
        <f t="shared" si="32"/>
        <v/>
      </c>
      <c r="AE33" s="43" t="str">
        <f t="shared" si="32"/>
        <v/>
      </c>
      <c r="AF33" s="43" t="str">
        <f t="shared" si="32"/>
        <v/>
      </c>
      <c r="AG33" s="43" t="str">
        <f t="shared" si="32"/>
        <v/>
      </c>
      <c r="AH33" s="43" t="str">
        <f t="shared" si="32"/>
        <v/>
      </c>
      <c r="AI33" s="43" t="str">
        <f t="shared" ref="AI33:BN33" si="33">IF(AH21&lt;保险期间,AI31+AI32,"")</f>
        <v/>
      </c>
      <c r="AJ33" s="43" t="str">
        <f t="shared" si="33"/>
        <v/>
      </c>
      <c r="AK33" s="43" t="str">
        <f t="shared" si="33"/>
        <v/>
      </c>
      <c r="AL33" s="43" t="str">
        <f t="shared" si="33"/>
        <v/>
      </c>
      <c r="AM33" s="43" t="str">
        <f t="shared" si="33"/>
        <v/>
      </c>
      <c r="AN33" s="43" t="str">
        <f t="shared" si="33"/>
        <v/>
      </c>
      <c r="AO33" s="43" t="str">
        <f t="shared" si="33"/>
        <v/>
      </c>
      <c r="AP33" s="43" t="str">
        <f t="shared" si="33"/>
        <v/>
      </c>
      <c r="AQ33" s="43" t="str">
        <f t="shared" si="33"/>
        <v/>
      </c>
      <c r="AR33" s="43" t="str">
        <f t="shared" si="33"/>
        <v/>
      </c>
      <c r="AS33" s="43" t="str">
        <f t="shared" si="33"/>
        <v/>
      </c>
      <c r="AT33" s="43" t="str">
        <f t="shared" si="33"/>
        <v/>
      </c>
      <c r="AU33" s="43" t="str">
        <f t="shared" si="33"/>
        <v/>
      </c>
      <c r="AV33" s="43" t="str">
        <f t="shared" si="33"/>
        <v/>
      </c>
      <c r="AW33" s="43" t="str">
        <f t="shared" si="33"/>
        <v/>
      </c>
      <c r="AX33" s="43" t="str">
        <f t="shared" si="33"/>
        <v/>
      </c>
      <c r="AY33" s="43" t="str">
        <f t="shared" si="33"/>
        <v/>
      </c>
      <c r="AZ33" s="43" t="str">
        <f t="shared" si="33"/>
        <v/>
      </c>
      <c r="BA33" s="43" t="str">
        <f t="shared" si="33"/>
        <v/>
      </c>
      <c r="BB33" s="43" t="str">
        <f t="shared" si="33"/>
        <v/>
      </c>
      <c r="BC33" s="43" t="str">
        <f t="shared" si="33"/>
        <v/>
      </c>
      <c r="BD33" s="43" t="str">
        <f t="shared" si="33"/>
        <v/>
      </c>
      <c r="BE33" s="43" t="str">
        <f t="shared" si="33"/>
        <v/>
      </c>
      <c r="BF33" s="43" t="str">
        <f t="shared" si="33"/>
        <v/>
      </c>
      <c r="BG33" s="43" t="str">
        <f t="shared" si="33"/>
        <v/>
      </c>
      <c r="BH33" s="43" t="str">
        <f t="shared" si="33"/>
        <v/>
      </c>
      <c r="BI33" s="43" t="str">
        <f t="shared" si="33"/>
        <v/>
      </c>
      <c r="BJ33" s="43" t="str">
        <f t="shared" si="33"/>
        <v/>
      </c>
      <c r="BK33" s="43" t="str">
        <f t="shared" si="33"/>
        <v/>
      </c>
      <c r="BL33" s="43" t="str">
        <f t="shared" si="33"/>
        <v/>
      </c>
      <c r="BM33" s="43" t="str">
        <f t="shared" si="33"/>
        <v/>
      </c>
      <c r="BN33" s="43" t="str">
        <f t="shared" si="33"/>
        <v/>
      </c>
      <c r="BO33" s="43" t="str">
        <f t="shared" ref="BO33:CF33" si="34">IF(BN21&lt;保险期间,BO31+BO32,"")</f>
        <v/>
      </c>
      <c r="BP33" s="43" t="str">
        <f t="shared" si="34"/>
        <v/>
      </c>
      <c r="BQ33" s="43" t="str">
        <f t="shared" si="34"/>
        <v/>
      </c>
      <c r="BR33" s="43" t="str">
        <f t="shared" si="34"/>
        <v/>
      </c>
      <c r="BS33" s="43" t="str">
        <f t="shared" si="34"/>
        <v/>
      </c>
      <c r="BT33" s="43" t="str">
        <f t="shared" si="34"/>
        <v/>
      </c>
      <c r="BU33" s="43" t="str">
        <f t="shared" si="34"/>
        <v/>
      </c>
      <c r="BV33" s="43" t="str">
        <f t="shared" si="34"/>
        <v/>
      </c>
      <c r="BW33" s="43" t="str">
        <f t="shared" si="34"/>
        <v/>
      </c>
      <c r="BX33" s="43" t="str">
        <f t="shared" si="34"/>
        <v/>
      </c>
      <c r="BY33" s="43" t="str">
        <f t="shared" si="34"/>
        <v/>
      </c>
      <c r="BZ33" s="43" t="str">
        <f t="shared" si="34"/>
        <v/>
      </c>
      <c r="CA33" s="43" t="str">
        <f t="shared" si="34"/>
        <v/>
      </c>
      <c r="CB33" s="43" t="str">
        <f t="shared" si="34"/>
        <v/>
      </c>
      <c r="CC33" s="43" t="str">
        <f t="shared" si="34"/>
        <v/>
      </c>
      <c r="CD33" s="43" t="str">
        <f t="shared" si="34"/>
        <v/>
      </c>
      <c r="CE33" s="43" t="str">
        <f t="shared" si="34"/>
        <v/>
      </c>
      <c r="CF33" s="43" t="str">
        <f t="shared" si="34"/>
        <v/>
      </c>
    </row>
    <row r="34" spans="1:84">
      <c r="A34" s="29" t="s">
        <v>30</v>
      </c>
      <c r="B34" s="43">
        <f>B29*B22</f>
        <v>62.436</v>
      </c>
      <c r="C34" s="43">
        <f t="shared" ref="C34:AH34" si="35">IF(B21&lt;保险期间,C29*C22,"")</f>
        <v>68.497641139199999</v>
      </c>
      <c r="D34" s="43">
        <f t="shared" si="35"/>
        <v>76.114187386078044</v>
      </c>
      <c r="E34" s="43">
        <f t="shared" si="35"/>
        <v>85.316199317887779</v>
      </c>
      <c r="F34" s="43">
        <f t="shared" si="35"/>
        <v>95.860963697854316</v>
      </c>
      <c r="G34" s="43">
        <f t="shared" si="35"/>
        <v>107.41735278453417</v>
      </c>
      <c r="H34" s="43">
        <f t="shared" si="35"/>
        <v>119.64085416962992</v>
      </c>
      <c r="I34" s="43">
        <f t="shared" si="35"/>
        <v>132.29072192073252</v>
      </c>
      <c r="J34" s="43">
        <f t="shared" si="35"/>
        <v>145.34821176940233</v>
      </c>
      <c r="K34" s="43">
        <f t="shared" si="35"/>
        <v>158.92215162451333</v>
      </c>
      <c r="L34" s="43" t="str">
        <f t="shared" si="35"/>
        <v/>
      </c>
      <c r="M34" s="43" t="str">
        <f t="shared" si="35"/>
        <v/>
      </c>
      <c r="N34" s="43" t="str">
        <f t="shared" si="35"/>
        <v/>
      </c>
      <c r="O34" s="43" t="str">
        <f t="shared" si="35"/>
        <v/>
      </c>
      <c r="P34" s="43" t="str">
        <f t="shared" si="35"/>
        <v/>
      </c>
      <c r="Q34" s="43" t="str">
        <f t="shared" si="35"/>
        <v/>
      </c>
      <c r="R34" s="43" t="str">
        <f t="shared" si="35"/>
        <v/>
      </c>
      <c r="S34" s="43" t="str">
        <f t="shared" si="35"/>
        <v/>
      </c>
      <c r="T34" s="43" t="str">
        <f t="shared" si="35"/>
        <v/>
      </c>
      <c r="U34" s="43" t="str">
        <f t="shared" si="35"/>
        <v/>
      </c>
      <c r="V34" s="43" t="str">
        <f t="shared" si="35"/>
        <v/>
      </c>
      <c r="W34" s="43" t="str">
        <f t="shared" si="35"/>
        <v/>
      </c>
      <c r="X34" s="43" t="str">
        <f t="shared" si="35"/>
        <v/>
      </c>
      <c r="Y34" s="43" t="str">
        <f t="shared" si="35"/>
        <v/>
      </c>
      <c r="Z34" s="43" t="str">
        <f t="shared" si="35"/>
        <v/>
      </c>
      <c r="AA34" s="43" t="str">
        <f t="shared" si="35"/>
        <v/>
      </c>
      <c r="AB34" s="43" t="str">
        <f t="shared" si="35"/>
        <v/>
      </c>
      <c r="AC34" s="43" t="str">
        <f t="shared" si="35"/>
        <v/>
      </c>
      <c r="AD34" s="43" t="str">
        <f t="shared" si="35"/>
        <v/>
      </c>
      <c r="AE34" s="43" t="str">
        <f t="shared" si="35"/>
        <v/>
      </c>
      <c r="AF34" s="43" t="str">
        <f t="shared" si="35"/>
        <v/>
      </c>
      <c r="AG34" s="43" t="str">
        <f t="shared" si="35"/>
        <v/>
      </c>
      <c r="AH34" s="43" t="str">
        <f t="shared" si="35"/>
        <v/>
      </c>
      <c r="AI34" s="43" t="str">
        <f t="shared" ref="AI34:BN34" si="36">IF(AH21&lt;保险期间,AI29*AI22,"")</f>
        <v/>
      </c>
      <c r="AJ34" s="43" t="str">
        <f t="shared" si="36"/>
        <v/>
      </c>
      <c r="AK34" s="43" t="str">
        <f t="shared" si="36"/>
        <v/>
      </c>
      <c r="AL34" s="43" t="str">
        <f t="shared" si="36"/>
        <v/>
      </c>
      <c r="AM34" s="43" t="str">
        <f t="shared" si="36"/>
        <v/>
      </c>
      <c r="AN34" s="43" t="str">
        <f t="shared" si="36"/>
        <v/>
      </c>
      <c r="AO34" s="43" t="str">
        <f t="shared" si="36"/>
        <v/>
      </c>
      <c r="AP34" s="43" t="str">
        <f t="shared" si="36"/>
        <v/>
      </c>
      <c r="AQ34" s="43" t="str">
        <f t="shared" si="36"/>
        <v/>
      </c>
      <c r="AR34" s="43" t="str">
        <f t="shared" si="36"/>
        <v/>
      </c>
      <c r="AS34" s="43" t="str">
        <f t="shared" si="36"/>
        <v/>
      </c>
      <c r="AT34" s="43" t="str">
        <f t="shared" si="36"/>
        <v/>
      </c>
      <c r="AU34" s="43" t="str">
        <f t="shared" si="36"/>
        <v/>
      </c>
      <c r="AV34" s="43" t="str">
        <f t="shared" si="36"/>
        <v/>
      </c>
      <c r="AW34" s="43" t="str">
        <f t="shared" si="36"/>
        <v/>
      </c>
      <c r="AX34" s="43" t="str">
        <f t="shared" si="36"/>
        <v/>
      </c>
      <c r="AY34" s="43" t="str">
        <f t="shared" si="36"/>
        <v/>
      </c>
      <c r="AZ34" s="43" t="str">
        <f t="shared" si="36"/>
        <v/>
      </c>
      <c r="BA34" s="43" t="str">
        <f t="shared" si="36"/>
        <v/>
      </c>
      <c r="BB34" s="43" t="str">
        <f t="shared" si="36"/>
        <v/>
      </c>
      <c r="BC34" s="43" t="str">
        <f t="shared" si="36"/>
        <v/>
      </c>
      <c r="BD34" s="43" t="str">
        <f t="shared" si="36"/>
        <v/>
      </c>
      <c r="BE34" s="43" t="str">
        <f t="shared" si="36"/>
        <v/>
      </c>
      <c r="BF34" s="43" t="str">
        <f t="shared" si="36"/>
        <v/>
      </c>
      <c r="BG34" s="43" t="str">
        <f t="shared" si="36"/>
        <v/>
      </c>
      <c r="BH34" s="43" t="str">
        <f t="shared" si="36"/>
        <v/>
      </c>
      <c r="BI34" s="43" t="str">
        <f t="shared" si="36"/>
        <v/>
      </c>
      <c r="BJ34" s="43" t="str">
        <f t="shared" si="36"/>
        <v/>
      </c>
      <c r="BK34" s="43" t="str">
        <f t="shared" si="36"/>
        <v/>
      </c>
      <c r="BL34" s="43" t="str">
        <f t="shared" si="36"/>
        <v/>
      </c>
      <c r="BM34" s="43" t="str">
        <f t="shared" si="36"/>
        <v/>
      </c>
      <c r="BN34" s="43" t="str">
        <f t="shared" si="36"/>
        <v/>
      </c>
      <c r="BO34" s="43" t="str">
        <f t="shared" ref="BO34:CF34" si="37">IF(BN21&lt;保险期间,BO29*BO22,"")</f>
        <v/>
      </c>
      <c r="BP34" s="43" t="str">
        <f t="shared" si="37"/>
        <v/>
      </c>
      <c r="BQ34" s="43" t="str">
        <f t="shared" si="37"/>
        <v/>
      </c>
      <c r="BR34" s="43" t="str">
        <f t="shared" si="37"/>
        <v/>
      </c>
      <c r="BS34" s="43" t="str">
        <f t="shared" si="37"/>
        <v/>
      </c>
      <c r="BT34" s="43" t="str">
        <f t="shared" si="37"/>
        <v/>
      </c>
      <c r="BU34" s="43" t="str">
        <f t="shared" si="37"/>
        <v/>
      </c>
      <c r="BV34" s="43" t="str">
        <f t="shared" si="37"/>
        <v/>
      </c>
      <c r="BW34" s="43" t="str">
        <f t="shared" si="37"/>
        <v/>
      </c>
      <c r="BX34" s="43" t="str">
        <f t="shared" si="37"/>
        <v/>
      </c>
      <c r="BY34" s="43" t="str">
        <f t="shared" si="37"/>
        <v/>
      </c>
      <c r="BZ34" s="43" t="str">
        <f t="shared" si="37"/>
        <v/>
      </c>
      <c r="CA34" s="43" t="str">
        <f t="shared" si="37"/>
        <v/>
      </c>
      <c r="CB34" s="43" t="str">
        <f t="shared" si="37"/>
        <v/>
      </c>
      <c r="CC34" s="43" t="str">
        <f t="shared" si="37"/>
        <v/>
      </c>
      <c r="CD34" s="43" t="str">
        <f t="shared" si="37"/>
        <v/>
      </c>
      <c r="CE34" s="43" t="str">
        <f t="shared" si="37"/>
        <v/>
      </c>
      <c r="CF34" s="43" t="str">
        <f t="shared" si="37"/>
        <v/>
      </c>
    </row>
    <row r="35" spans="1:84">
      <c r="A35" s="29" t="s">
        <v>31</v>
      </c>
      <c r="B35" s="43">
        <f>B34*保额</f>
        <v>62436</v>
      </c>
      <c r="C35" s="43">
        <f t="shared" ref="C35:AH35" si="38">IF(B21&lt;保险期间,C34*保额,"")</f>
        <v>68497.641139200001</v>
      </c>
      <c r="D35" s="43">
        <f t="shared" si="38"/>
        <v>76114.187386078047</v>
      </c>
      <c r="E35" s="43">
        <f t="shared" si="38"/>
        <v>85316.199317887775</v>
      </c>
      <c r="F35" s="43">
        <f t="shared" si="38"/>
        <v>95860.963697854313</v>
      </c>
      <c r="G35" s="43">
        <f t="shared" si="38"/>
        <v>107417.35278453417</v>
      </c>
      <c r="H35" s="43">
        <f t="shared" si="38"/>
        <v>119640.85416962992</v>
      </c>
      <c r="I35" s="43">
        <f t="shared" si="38"/>
        <v>132290.72192073253</v>
      </c>
      <c r="J35" s="43">
        <f t="shared" si="38"/>
        <v>145348.21176940232</v>
      </c>
      <c r="K35" s="43">
        <f t="shared" si="38"/>
        <v>158922.15162451332</v>
      </c>
      <c r="L35" s="43" t="str">
        <f t="shared" si="38"/>
        <v/>
      </c>
      <c r="M35" s="43" t="str">
        <f t="shared" si="38"/>
        <v/>
      </c>
      <c r="N35" s="43" t="str">
        <f t="shared" si="38"/>
        <v/>
      </c>
      <c r="O35" s="43" t="str">
        <f t="shared" si="38"/>
        <v/>
      </c>
      <c r="P35" s="43" t="str">
        <f t="shared" si="38"/>
        <v/>
      </c>
      <c r="Q35" s="43" t="str">
        <f t="shared" si="38"/>
        <v/>
      </c>
      <c r="R35" s="43" t="str">
        <f t="shared" si="38"/>
        <v/>
      </c>
      <c r="S35" s="43" t="str">
        <f t="shared" si="38"/>
        <v/>
      </c>
      <c r="T35" s="43" t="str">
        <f t="shared" si="38"/>
        <v/>
      </c>
      <c r="U35" s="43" t="str">
        <f t="shared" si="38"/>
        <v/>
      </c>
      <c r="V35" s="43" t="str">
        <f t="shared" si="38"/>
        <v/>
      </c>
      <c r="W35" s="43" t="str">
        <f t="shared" si="38"/>
        <v/>
      </c>
      <c r="X35" s="43" t="str">
        <f t="shared" si="38"/>
        <v/>
      </c>
      <c r="Y35" s="43" t="str">
        <f t="shared" si="38"/>
        <v/>
      </c>
      <c r="Z35" s="43" t="str">
        <f t="shared" si="38"/>
        <v/>
      </c>
      <c r="AA35" s="43" t="str">
        <f t="shared" si="38"/>
        <v/>
      </c>
      <c r="AB35" s="43" t="str">
        <f t="shared" si="38"/>
        <v/>
      </c>
      <c r="AC35" s="43" t="str">
        <f t="shared" si="38"/>
        <v/>
      </c>
      <c r="AD35" s="43" t="str">
        <f t="shared" si="38"/>
        <v/>
      </c>
      <c r="AE35" s="43" t="str">
        <f t="shared" si="38"/>
        <v/>
      </c>
      <c r="AF35" s="43" t="str">
        <f t="shared" si="38"/>
        <v/>
      </c>
      <c r="AG35" s="43" t="str">
        <f t="shared" si="38"/>
        <v/>
      </c>
      <c r="AH35" s="43" t="str">
        <f t="shared" si="38"/>
        <v/>
      </c>
      <c r="AI35" s="43" t="str">
        <f t="shared" ref="AI35:BN35" si="39">IF(AH21&lt;保险期间,AI34*保额,"")</f>
        <v/>
      </c>
      <c r="AJ35" s="43" t="str">
        <f t="shared" si="39"/>
        <v/>
      </c>
      <c r="AK35" s="43" t="str">
        <f t="shared" si="39"/>
        <v/>
      </c>
      <c r="AL35" s="43" t="str">
        <f t="shared" si="39"/>
        <v/>
      </c>
      <c r="AM35" s="43" t="str">
        <f t="shared" si="39"/>
        <v/>
      </c>
      <c r="AN35" s="43" t="str">
        <f t="shared" si="39"/>
        <v/>
      </c>
      <c r="AO35" s="43" t="str">
        <f t="shared" si="39"/>
        <v/>
      </c>
      <c r="AP35" s="43" t="str">
        <f t="shared" si="39"/>
        <v/>
      </c>
      <c r="AQ35" s="43" t="str">
        <f t="shared" si="39"/>
        <v/>
      </c>
      <c r="AR35" s="43" t="str">
        <f t="shared" si="39"/>
        <v/>
      </c>
      <c r="AS35" s="43" t="str">
        <f t="shared" si="39"/>
        <v/>
      </c>
      <c r="AT35" s="43" t="str">
        <f t="shared" si="39"/>
        <v/>
      </c>
      <c r="AU35" s="43" t="str">
        <f t="shared" si="39"/>
        <v/>
      </c>
      <c r="AV35" s="43" t="str">
        <f t="shared" si="39"/>
        <v/>
      </c>
      <c r="AW35" s="43" t="str">
        <f t="shared" si="39"/>
        <v/>
      </c>
      <c r="AX35" s="43" t="str">
        <f t="shared" si="39"/>
        <v/>
      </c>
      <c r="AY35" s="43" t="str">
        <f t="shared" si="39"/>
        <v/>
      </c>
      <c r="AZ35" s="43" t="str">
        <f t="shared" si="39"/>
        <v/>
      </c>
      <c r="BA35" s="43" t="str">
        <f t="shared" si="39"/>
        <v/>
      </c>
      <c r="BB35" s="43" t="str">
        <f t="shared" si="39"/>
        <v/>
      </c>
      <c r="BC35" s="43" t="str">
        <f t="shared" si="39"/>
        <v/>
      </c>
      <c r="BD35" s="43" t="str">
        <f t="shared" si="39"/>
        <v/>
      </c>
      <c r="BE35" s="43" t="str">
        <f t="shared" si="39"/>
        <v/>
      </c>
      <c r="BF35" s="43" t="str">
        <f t="shared" si="39"/>
        <v/>
      </c>
      <c r="BG35" s="43" t="str">
        <f t="shared" si="39"/>
        <v/>
      </c>
      <c r="BH35" s="43" t="str">
        <f t="shared" si="39"/>
        <v/>
      </c>
      <c r="BI35" s="43" t="str">
        <f t="shared" si="39"/>
        <v/>
      </c>
      <c r="BJ35" s="43" t="str">
        <f t="shared" si="39"/>
        <v/>
      </c>
      <c r="BK35" s="43" t="str">
        <f t="shared" si="39"/>
        <v/>
      </c>
      <c r="BL35" s="43" t="str">
        <f t="shared" si="39"/>
        <v/>
      </c>
      <c r="BM35" s="43" t="str">
        <f t="shared" si="39"/>
        <v/>
      </c>
      <c r="BN35" s="43" t="str">
        <f t="shared" si="39"/>
        <v/>
      </c>
      <c r="BO35" s="43" t="str">
        <f t="shared" ref="BO35:CF35" si="40">IF(BN21&lt;保险期间,BO34*保额,"")</f>
        <v/>
      </c>
      <c r="BP35" s="43" t="str">
        <f t="shared" si="40"/>
        <v/>
      </c>
      <c r="BQ35" s="43" t="str">
        <f t="shared" si="40"/>
        <v/>
      </c>
      <c r="BR35" s="43" t="str">
        <f t="shared" si="40"/>
        <v/>
      </c>
      <c r="BS35" s="43" t="str">
        <f t="shared" si="40"/>
        <v/>
      </c>
      <c r="BT35" s="43" t="str">
        <f t="shared" si="40"/>
        <v/>
      </c>
      <c r="BU35" s="43" t="str">
        <f t="shared" si="40"/>
        <v/>
      </c>
      <c r="BV35" s="43" t="str">
        <f t="shared" si="40"/>
        <v/>
      </c>
      <c r="BW35" s="43" t="str">
        <f t="shared" si="40"/>
        <v/>
      </c>
      <c r="BX35" s="43" t="str">
        <f t="shared" si="40"/>
        <v/>
      </c>
      <c r="BY35" s="43" t="str">
        <f t="shared" si="40"/>
        <v/>
      </c>
      <c r="BZ35" s="43" t="str">
        <f t="shared" si="40"/>
        <v/>
      </c>
      <c r="CA35" s="43" t="str">
        <f t="shared" si="40"/>
        <v/>
      </c>
      <c r="CB35" s="43" t="str">
        <f t="shared" si="40"/>
        <v/>
      </c>
      <c r="CC35" s="43" t="str">
        <f t="shared" si="40"/>
        <v/>
      </c>
      <c r="CD35" s="43" t="str">
        <f t="shared" si="40"/>
        <v/>
      </c>
      <c r="CE35" s="43" t="str">
        <f t="shared" si="40"/>
        <v/>
      </c>
      <c r="CF35" s="43" t="str">
        <f t="shared" si="40"/>
        <v/>
      </c>
    </row>
    <row r="36" spans="1:84">
      <c r="A36" s="29" t="s">
        <v>32</v>
      </c>
      <c r="B36" s="43">
        <f>B29-B34</f>
        <v>9937.5640000000003</v>
      </c>
      <c r="C36" s="43">
        <f t="shared" ref="C36:AH36" si="41">IF(B21&lt;保险期间,C29-C34,"")</f>
        <v>9869.0663588608004</v>
      </c>
      <c r="D36" s="43">
        <f t="shared" si="41"/>
        <v>9792.9521714747225</v>
      </c>
      <c r="E36" s="43">
        <f t="shared" si="41"/>
        <v>9707.6359721568351</v>
      </c>
      <c r="F36" s="43">
        <f t="shared" si="41"/>
        <v>9611.7750084589807</v>
      </c>
      <c r="G36" s="43">
        <f t="shared" si="41"/>
        <v>9504.3576556744465</v>
      </c>
      <c r="H36" s="43">
        <f t="shared" si="41"/>
        <v>9384.7168015048173</v>
      </c>
      <c r="I36" s="43">
        <f t="shared" si="41"/>
        <v>9252.4260795840855</v>
      </c>
      <c r="J36" s="43">
        <f t="shared" si="41"/>
        <v>9107.0778678146835</v>
      </c>
      <c r="K36" s="43">
        <f t="shared" si="41"/>
        <v>8948.155716190171</v>
      </c>
      <c r="L36" s="43" t="str">
        <f t="shared" si="41"/>
        <v/>
      </c>
      <c r="M36" s="43" t="str">
        <f t="shared" si="41"/>
        <v/>
      </c>
      <c r="N36" s="43" t="str">
        <f t="shared" si="41"/>
        <v/>
      </c>
      <c r="O36" s="43" t="str">
        <f t="shared" si="41"/>
        <v/>
      </c>
      <c r="P36" s="43" t="str">
        <f t="shared" si="41"/>
        <v/>
      </c>
      <c r="Q36" s="43" t="str">
        <f t="shared" si="41"/>
        <v/>
      </c>
      <c r="R36" s="43" t="str">
        <f t="shared" si="41"/>
        <v/>
      </c>
      <c r="S36" s="43" t="str">
        <f t="shared" si="41"/>
        <v/>
      </c>
      <c r="T36" s="43" t="str">
        <f t="shared" si="41"/>
        <v/>
      </c>
      <c r="U36" s="43" t="str">
        <f t="shared" si="41"/>
        <v/>
      </c>
      <c r="V36" s="43" t="str">
        <f t="shared" si="41"/>
        <v/>
      </c>
      <c r="W36" s="43" t="str">
        <f t="shared" si="41"/>
        <v/>
      </c>
      <c r="X36" s="43" t="str">
        <f t="shared" si="41"/>
        <v/>
      </c>
      <c r="Y36" s="43" t="str">
        <f t="shared" si="41"/>
        <v/>
      </c>
      <c r="Z36" s="43" t="str">
        <f t="shared" si="41"/>
        <v/>
      </c>
      <c r="AA36" s="43" t="str">
        <f t="shared" si="41"/>
        <v/>
      </c>
      <c r="AB36" s="43" t="str">
        <f t="shared" si="41"/>
        <v/>
      </c>
      <c r="AC36" s="43" t="str">
        <f t="shared" si="41"/>
        <v/>
      </c>
      <c r="AD36" s="43" t="str">
        <f t="shared" si="41"/>
        <v/>
      </c>
      <c r="AE36" s="43" t="str">
        <f t="shared" si="41"/>
        <v/>
      </c>
      <c r="AF36" s="43" t="str">
        <f t="shared" si="41"/>
        <v/>
      </c>
      <c r="AG36" s="43" t="str">
        <f t="shared" si="41"/>
        <v/>
      </c>
      <c r="AH36" s="43" t="str">
        <f t="shared" si="41"/>
        <v/>
      </c>
      <c r="AI36" s="43" t="str">
        <f t="shared" ref="AI36:BN36" si="42">IF(AH21&lt;保险期间,AI29-AI34,"")</f>
        <v/>
      </c>
      <c r="AJ36" s="43" t="str">
        <f t="shared" si="42"/>
        <v/>
      </c>
      <c r="AK36" s="43" t="str">
        <f t="shared" si="42"/>
        <v/>
      </c>
      <c r="AL36" s="43" t="str">
        <f t="shared" si="42"/>
        <v/>
      </c>
      <c r="AM36" s="43" t="str">
        <f t="shared" si="42"/>
        <v/>
      </c>
      <c r="AN36" s="43" t="str">
        <f t="shared" si="42"/>
        <v/>
      </c>
      <c r="AO36" s="43" t="str">
        <f t="shared" si="42"/>
        <v/>
      </c>
      <c r="AP36" s="43" t="str">
        <f t="shared" si="42"/>
        <v/>
      </c>
      <c r="AQ36" s="43" t="str">
        <f t="shared" si="42"/>
        <v/>
      </c>
      <c r="AR36" s="43" t="str">
        <f t="shared" si="42"/>
        <v/>
      </c>
      <c r="AS36" s="43" t="str">
        <f t="shared" si="42"/>
        <v/>
      </c>
      <c r="AT36" s="43" t="str">
        <f t="shared" si="42"/>
        <v/>
      </c>
      <c r="AU36" s="43" t="str">
        <f t="shared" si="42"/>
        <v/>
      </c>
      <c r="AV36" s="43" t="str">
        <f t="shared" si="42"/>
        <v/>
      </c>
      <c r="AW36" s="43" t="str">
        <f t="shared" si="42"/>
        <v/>
      </c>
      <c r="AX36" s="43" t="str">
        <f t="shared" si="42"/>
        <v/>
      </c>
      <c r="AY36" s="43" t="str">
        <f t="shared" si="42"/>
        <v/>
      </c>
      <c r="AZ36" s="43" t="str">
        <f t="shared" si="42"/>
        <v/>
      </c>
      <c r="BA36" s="43" t="str">
        <f t="shared" si="42"/>
        <v/>
      </c>
      <c r="BB36" s="43" t="str">
        <f t="shared" si="42"/>
        <v/>
      </c>
      <c r="BC36" s="43" t="str">
        <f t="shared" si="42"/>
        <v/>
      </c>
      <c r="BD36" s="43" t="str">
        <f t="shared" si="42"/>
        <v/>
      </c>
      <c r="BE36" s="43" t="str">
        <f t="shared" si="42"/>
        <v/>
      </c>
      <c r="BF36" s="43" t="str">
        <f t="shared" si="42"/>
        <v/>
      </c>
      <c r="BG36" s="43" t="str">
        <f t="shared" si="42"/>
        <v/>
      </c>
      <c r="BH36" s="43" t="str">
        <f t="shared" si="42"/>
        <v/>
      </c>
      <c r="BI36" s="43" t="str">
        <f t="shared" si="42"/>
        <v/>
      </c>
      <c r="BJ36" s="43" t="str">
        <f t="shared" si="42"/>
        <v/>
      </c>
      <c r="BK36" s="43" t="str">
        <f t="shared" si="42"/>
        <v/>
      </c>
      <c r="BL36" s="43" t="str">
        <f t="shared" si="42"/>
        <v/>
      </c>
      <c r="BM36" s="43" t="str">
        <f t="shared" si="42"/>
        <v/>
      </c>
      <c r="BN36" s="43" t="str">
        <f t="shared" si="42"/>
        <v/>
      </c>
      <c r="BO36" s="43" t="str">
        <f t="shared" ref="BO36:CF36" si="43">IF(BN21&lt;保险期间,BO29-BO34,"")</f>
        <v/>
      </c>
      <c r="BP36" s="43" t="str">
        <f t="shared" si="43"/>
        <v/>
      </c>
      <c r="BQ36" s="43" t="str">
        <f t="shared" si="43"/>
        <v/>
      </c>
      <c r="BR36" s="43" t="str">
        <f t="shared" si="43"/>
        <v/>
      </c>
      <c r="BS36" s="43" t="str">
        <f t="shared" si="43"/>
        <v/>
      </c>
      <c r="BT36" s="43" t="str">
        <f t="shared" si="43"/>
        <v/>
      </c>
      <c r="BU36" s="43" t="str">
        <f t="shared" si="43"/>
        <v/>
      </c>
      <c r="BV36" s="43" t="str">
        <f t="shared" si="43"/>
        <v/>
      </c>
      <c r="BW36" s="43" t="str">
        <f t="shared" si="43"/>
        <v/>
      </c>
      <c r="BX36" s="43" t="str">
        <f t="shared" si="43"/>
        <v/>
      </c>
      <c r="BY36" s="43" t="str">
        <f t="shared" si="43"/>
        <v/>
      </c>
      <c r="BZ36" s="43" t="str">
        <f t="shared" si="43"/>
        <v/>
      </c>
      <c r="CA36" s="43" t="str">
        <f t="shared" si="43"/>
        <v/>
      </c>
      <c r="CB36" s="43" t="str">
        <f t="shared" si="43"/>
        <v/>
      </c>
      <c r="CC36" s="43" t="str">
        <f t="shared" si="43"/>
        <v/>
      </c>
      <c r="CD36" s="43" t="str">
        <f t="shared" si="43"/>
        <v/>
      </c>
      <c r="CE36" s="43" t="str">
        <f t="shared" si="43"/>
        <v/>
      </c>
      <c r="CF36" s="43" t="str">
        <f t="shared" si="43"/>
        <v/>
      </c>
    </row>
    <row r="37" spans="1:84">
      <c r="A37" s="29" t="s">
        <v>53</v>
      </c>
      <c r="B37" s="43">
        <f t="shared" ref="B37:AG37" si="44">IF(B27&lt;=保险期间,B25*B36*保额,"")</f>
        <v>0</v>
      </c>
      <c r="C37" s="43">
        <f t="shared" si="44"/>
        <v>0</v>
      </c>
      <c r="D37" s="43">
        <f t="shared" si="44"/>
        <v>0</v>
      </c>
      <c r="E37" s="43">
        <f t="shared" si="44"/>
        <v>0</v>
      </c>
      <c r="F37" s="43">
        <f t="shared" si="44"/>
        <v>0</v>
      </c>
      <c r="G37" s="43">
        <f t="shared" si="44"/>
        <v>0</v>
      </c>
      <c r="H37" s="43">
        <f t="shared" si="44"/>
        <v>0</v>
      </c>
      <c r="I37" s="43">
        <f t="shared" si="44"/>
        <v>0</v>
      </c>
      <c r="J37" s="43">
        <f t="shared" si="44"/>
        <v>0</v>
      </c>
      <c r="K37" s="43">
        <f t="shared" si="44"/>
        <v>0</v>
      </c>
      <c r="L37" s="43" t="str">
        <f t="shared" si="44"/>
        <v/>
      </c>
      <c r="M37" s="43" t="str">
        <f t="shared" si="44"/>
        <v/>
      </c>
      <c r="N37" s="43" t="str">
        <f t="shared" si="44"/>
        <v/>
      </c>
      <c r="O37" s="43" t="str">
        <f t="shared" si="44"/>
        <v/>
      </c>
      <c r="P37" s="43" t="str">
        <f t="shared" si="44"/>
        <v/>
      </c>
      <c r="Q37" s="43" t="str">
        <f t="shared" si="44"/>
        <v/>
      </c>
      <c r="R37" s="43" t="str">
        <f t="shared" si="44"/>
        <v/>
      </c>
      <c r="S37" s="43" t="str">
        <f t="shared" si="44"/>
        <v/>
      </c>
      <c r="T37" s="43" t="str">
        <f t="shared" si="44"/>
        <v/>
      </c>
      <c r="U37" s="43" t="str">
        <f t="shared" si="44"/>
        <v/>
      </c>
      <c r="V37" s="43" t="str">
        <f t="shared" si="44"/>
        <v/>
      </c>
      <c r="W37" s="43" t="str">
        <f t="shared" si="44"/>
        <v/>
      </c>
      <c r="X37" s="43" t="str">
        <f t="shared" si="44"/>
        <v/>
      </c>
      <c r="Y37" s="43" t="str">
        <f t="shared" si="44"/>
        <v/>
      </c>
      <c r="Z37" s="43" t="str">
        <f t="shared" si="44"/>
        <v/>
      </c>
      <c r="AA37" s="43" t="str">
        <f t="shared" si="44"/>
        <v/>
      </c>
      <c r="AB37" s="43" t="str">
        <f t="shared" si="44"/>
        <v/>
      </c>
      <c r="AC37" s="43" t="str">
        <f t="shared" si="44"/>
        <v/>
      </c>
      <c r="AD37" s="43" t="str">
        <f t="shared" si="44"/>
        <v/>
      </c>
      <c r="AE37" s="43" t="str">
        <f t="shared" si="44"/>
        <v/>
      </c>
      <c r="AF37" s="43" t="str">
        <f t="shared" si="44"/>
        <v/>
      </c>
      <c r="AG37" s="43" t="str">
        <f t="shared" si="44"/>
        <v/>
      </c>
      <c r="AH37" s="43" t="str">
        <f t="shared" ref="AH37:BM37" si="45">IF(AH27&lt;=保险期间,AH25*AH36*保额,"")</f>
        <v/>
      </c>
      <c r="AI37" s="43" t="str">
        <f t="shared" si="45"/>
        <v/>
      </c>
      <c r="AJ37" s="43" t="str">
        <f t="shared" si="45"/>
        <v/>
      </c>
      <c r="AK37" s="43" t="str">
        <f t="shared" si="45"/>
        <v/>
      </c>
      <c r="AL37" s="43" t="str">
        <f t="shared" si="45"/>
        <v/>
      </c>
      <c r="AM37" s="43" t="str">
        <f t="shared" si="45"/>
        <v/>
      </c>
      <c r="AN37" s="43" t="str">
        <f t="shared" si="45"/>
        <v/>
      </c>
      <c r="AO37" s="43" t="str">
        <f t="shared" si="45"/>
        <v/>
      </c>
      <c r="AP37" s="43" t="str">
        <f t="shared" si="45"/>
        <v/>
      </c>
      <c r="AQ37" s="43" t="str">
        <f t="shared" si="45"/>
        <v/>
      </c>
      <c r="AR37" s="43" t="str">
        <f t="shared" si="45"/>
        <v/>
      </c>
      <c r="AS37" s="43" t="str">
        <f t="shared" si="45"/>
        <v/>
      </c>
      <c r="AT37" s="43" t="str">
        <f t="shared" si="45"/>
        <v/>
      </c>
      <c r="AU37" s="43" t="str">
        <f t="shared" si="45"/>
        <v/>
      </c>
      <c r="AV37" s="43" t="str">
        <f t="shared" si="45"/>
        <v/>
      </c>
      <c r="AW37" s="43" t="str">
        <f t="shared" si="45"/>
        <v/>
      </c>
      <c r="AX37" s="43" t="str">
        <f t="shared" si="45"/>
        <v/>
      </c>
      <c r="AY37" s="43" t="str">
        <f t="shared" si="45"/>
        <v/>
      </c>
      <c r="AZ37" s="43" t="str">
        <f t="shared" si="45"/>
        <v/>
      </c>
      <c r="BA37" s="43" t="str">
        <f t="shared" si="45"/>
        <v/>
      </c>
      <c r="BB37" s="43" t="str">
        <f t="shared" si="45"/>
        <v/>
      </c>
      <c r="BC37" s="43" t="str">
        <f t="shared" si="45"/>
        <v/>
      </c>
      <c r="BD37" s="43" t="str">
        <f t="shared" si="45"/>
        <v/>
      </c>
      <c r="BE37" s="43" t="str">
        <f t="shared" si="45"/>
        <v/>
      </c>
      <c r="BF37" s="43" t="str">
        <f t="shared" si="45"/>
        <v/>
      </c>
      <c r="BG37" s="43" t="str">
        <f t="shared" si="45"/>
        <v/>
      </c>
      <c r="BH37" s="43" t="str">
        <f t="shared" si="45"/>
        <v/>
      </c>
      <c r="BI37" s="43" t="str">
        <f t="shared" si="45"/>
        <v/>
      </c>
      <c r="BJ37" s="43" t="str">
        <f t="shared" si="45"/>
        <v/>
      </c>
      <c r="BK37" s="43" t="str">
        <f t="shared" si="45"/>
        <v/>
      </c>
      <c r="BL37" s="43" t="str">
        <f t="shared" si="45"/>
        <v/>
      </c>
      <c r="BM37" s="43" t="str">
        <f t="shared" si="45"/>
        <v/>
      </c>
      <c r="BN37" s="43" t="str">
        <f t="shared" ref="BN37:CF37" si="46">IF(BN27&lt;=保险期间,BN25*BN36*保额,"")</f>
        <v/>
      </c>
      <c r="BO37" s="43" t="str">
        <f t="shared" si="46"/>
        <v/>
      </c>
      <c r="BP37" s="43" t="str">
        <f t="shared" si="46"/>
        <v/>
      </c>
      <c r="BQ37" s="43" t="str">
        <f t="shared" si="46"/>
        <v/>
      </c>
      <c r="BR37" s="43" t="str">
        <f t="shared" si="46"/>
        <v/>
      </c>
      <c r="BS37" s="43" t="str">
        <f t="shared" si="46"/>
        <v/>
      </c>
      <c r="BT37" s="43" t="str">
        <f t="shared" si="46"/>
        <v/>
      </c>
      <c r="BU37" s="43" t="str">
        <f t="shared" si="46"/>
        <v/>
      </c>
      <c r="BV37" s="43" t="str">
        <f t="shared" si="46"/>
        <v/>
      </c>
      <c r="BW37" s="43" t="str">
        <f t="shared" si="46"/>
        <v/>
      </c>
      <c r="BX37" s="43" t="str">
        <f t="shared" si="46"/>
        <v/>
      </c>
      <c r="BY37" s="43" t="str">
        <f t="shared" si="46"/>
        <v/>
      </c>
      <c r="BZ37" s="43" t="str">
        <f t="shared" si="46"/>
        <v/>
      </c>
      <c r="CA37" s="43" t="str">
        <f t="shared" si="46"/>
        <v/>
      </c>
      <c r="CB37" s="43" t="str">
        <f t="shared" si="46"/>
        <v/>
      </c>
      <c r="CC37" s="43" t="str">
        <f t="shared" si="46"/>
        <v/>
      </c>
      <c r="CD37" s="43" t="str">
        <f t="shared" si="46"/>
        <v/>
      </c>
      <c r="CE37" s="43" t="str">
        <f t="shared" si="46"/>
        <v/>
      </c>
      <c r="CF37" s="43" t="str">
        <f t="shared" si="46"/>
        <v/>
      </c>
    </row>
    <row r="38" spans="1:84">
      <c r="A38" s="29" t="s">
        <v>55</v>
      </c>
      <c r="B38" s="43">
        <f>B31+B32-B35</f>
        <v>125309.29829986696</v>
      </c>
      <c r="C38" s="43">
        <f t="shared" ref="C38:AH38" si="47">IF(B21&lt;保险期间,C31+C32-C35,"")</f>
        <v>248397.1208480635</v>
      </c>
      <c r="D38" s="43">
        <f t="shared" si="47"/>
        <v>367505.89904445823</v>
      </c>
      <c r="E38" s="43">
        <f t="shared" si="47"/>
        <v>480748.00835533405</v>
      </c>
      <c r="F38" s="43">
        <f t="shared" si="47"/>
        <v>586373.26612960349</v>
      </c>
      <c r="G38" s="43">
        <f t="shared" si="47"/>
        <v>502410.84399025346</v>
      </c>
      <c r="H38" s="43">
        <f t="shared" si="47"/>
        <v>402866.42358023365</v>
      </c>
      <c r="I38" s="43">
        <f t="shared" si="47"/>
        <v>286690.35860271048</v>
      </c>
      <c r="J38" s="43">
        <f t="shared" si="47"/>
        <v>152809.7611774166</v>
      </c>
      <c r="K38" s="43">
        <f t="shared" si="47"/>
        <v>-5.8207660913467407E-11</v>
      </c>
      <c r="L38" s="43" t="str">
        <f t="shared" si="47"/>
        <v/>
      </c>
      <c r="M38" s="43" t="str">
        <f t="shared" si="47"/>
        <v/>
      </c>
      <c r="N38" s="43" t="str">
        <f t="shared" si="47"/>
        <v/>
      </c>
      <c r="O38" s="43" t="str">
        <f t="shared" si="47"/>
        <v/>
      </c>
      <c r="P38" s="43" t="str">
        <f t="shared" si="47"/>
        <v/>
      </c>
      <c r="Q38" s="43" t="str">
        <f t="shared" si="47"/>
        <v/>
      </c>
      <c r="R38" s="43" t="str">
        <f t="shared" si="47"/>
        <v/>
      </c>
      <c r="S38" s="43" t="str">
        <f t="shared" si="47"/>
        <v/>
      </c>
      <c r="T38" s="43" t="str">
        <f t="shared" si="47"/>
        <v/>
      </c>
      <c r="U38" s="43" t="str">
        <f t="shared" si="47"/>
        <v/>
      </c>
      <c r="V38" s="43" t="str">
        <f t="shared" si="47"/>
        <v/>
      </c>
      <c r="W38" s="43" t="str">
        <f t="shared" si="47"/>
        <v/>
      </c>
      <c r="X38" s="43" t="str">
        <f t="shared" si="47"/>
        <v/>
      </c>
      <c r="Y38" s="43" t="str">
        <f t="shared" si="47"/>
        <v/>
      </c>
      <c r="Z38" s="43" t="str">
        <f t="shared" si="47"/>
        <v/>
      </c>
      <c r="AA38" s="43" t="str">
        <f t="shared" si="47"/>
        <v/>
      </c>
      <c r="AB38" s="43" t="str">
        <f t="shared" si="47"/>
        <v/>
      </c>
      <c r="AC38" s="43" t="str">
        <f t="shared" si="47"/>
        <v/>
      </c>
      <c r="AD38" s="43" t="str">
        <f t="shared" si="47"/>
        <v/>
      </c>
      <c r="AE38" s="43" t="str">
        <f t="shared" si="47"/>
        <v/>
      </c>
      <c r="AF38" s="43" t="str">
        <f t="shared" si="47"/>
        <v/>
      </c>
      <c r="AG38" s="43" t="str">
        <f t="shared" si="47"/>
        <v/>
      </c>
      <c r="AH38" s="43" t="str">
        <f t="shared" si="47"/>
        <v/>
      </c>
      <c r="AI38" s="43" t="str">
        <f t="shared" ref="AI38:BN38" si="48">IF(AH21&lt;保险期间,AI31+AI32-AI35,"")</f>
        <v/>
      </c>
      <c r="AJ38" s="43" t="str">
        <f t="shared" si="48"/>
        <v/>
      </c>
      <c r="AK38" s="43" t="str">
        <f t="shared" si="48"/>
        <v/>
      </c>
      <c r="AL38" s="43" t="str">
        <f t="shared" si="48"/>
        <v/>
      </c>
      <c r="AM38" s="43" t="str">
        <f t="shared" si="48"/>
        <v/>
      </c>
      <c r="AN38" s="43" t="str">
        <f t="shared" si="48"/>
        <v/>
      </c>
      <c r="AO38" s="43" t="str">
        <f t="shared" si="48"/>
        <v/>
      </c>
      <c r="AP38" s="43" t="str">
        <f t="shared" si="48"/>
        <v/>
      </c>
      <c r="AQ38" s="43" t="str">
        <f t="shared" si="48"/>
        <v/>
      </c>
      <c r="AR38" s="43" t="str">
        <f t="shared" si="48"/>
        <v/>
      </c>
      <c r="AS38" s="43" t="str">
        <f t="shared" si="48"/>
        <v/>
      </c>
      <c r="AT38" s="43" t="str">
        <f t="shared" si="48"/>
        <v/>
      </c>
      <c r="AU38" s="43" t="str">
        <f t="shared" si="48"/>
        <v/>
      </c>
      <c r="AV38" s="43" t="str">
        <f t="shared" si="48"/>
        <v/>
      </c>
      <c r="AW38" s="43" t="str">
        <f t="shared" si="48"/>
        <v/>
      </c>
      <c r="AX38" s="43" t="str">
        <f t="shared" si="48"/>
        <v/>
      </c>
      <c r="AY38" s="43" t="str">
        <f t="shared" si="48"/>
        <v/>
      </c>
      <c r="AZ38" s="43" t="str">
        <f t="shared" si="48"/>
        <v/>
      </c>
      <c r="BA38" s="43" t="str">
        <f t="shared" si="48"/>
        <v/>
      </c>
      <c r="BB38" s="43" t="str">
        <f t="shared" si="48"/>
        <v/>
      </c>
      <c r="BC38" s="43" t="str">
        <f t="shared" si="48"/>
        <v/>
      </c>
      <c r="BD38" s="43" t="str">
        <f t="shared" si="48"/>
        <v/>
      </c>
      <c r="BE38" s="43" t="str">
        <f t="shared" si="48"/>
        <v/>
      </c>
      <c r="BF38" s="43" t="str">
        <f t="shared" si="48"/>
        <v/>
      </c>
      <c r="BG38" s="43" t="str">
        <f t="shared" si="48"/>
        <v/>
      </c>
      <c r="BH38" s="43" t="str">
        <f t="shared" si="48"/>
        <v/>
      </c>
      <c r="BI38" s="43" t="str">
        <f t="shared" si="48"/>
        <v/>
      </c>
      <c r="BJ38" s="43" t="str">
        <f t="shared" si="48"/>
        <v/>
      </c>
      <c r="BK38" s="43" t="str">
        <f t="shared" si="48"/>
        <v/>
      </c>
      <c r="BL38" s="43" t="str">
        <f t="shared" si="48"/>
        <v/>
      </c>
      <c r="BM38" s="43" t="str">
        <f t="shared" si="48"/>
        <v/>
      </c>
      <c r="BN38" s="43" t="str">
        <f t="shared" si="48"/>
        <v/>
      </c>
      <c r="BO38" s="43" t="str">
        <f t="shared" ref="BO38:CF38" si="49">IF(BN21&lt;保险期间,BO31+BO32-BO35,"")</f>
        <v/>
      </c>
      <c r="BP38" s="43" t="str">
        <f t="shared" si="49"/>
        <v/>
      </c>
      <c r="BQ38" s="43" t="str">
        <f t="shared" si="49"/>
        <v/>
      </c>
      <c r="BR38" s="43" t="str">
        <f t="shared" si="49"/>
        <v/>
      </c>
      <c r="BS38" s="43" t="str">
        <f t="shared" si="49"/>
        <v/>
      </c>
      <c r="BT38" s="43" t="str">
        <f t="shared" si="49"/>
        <v/>
      </c>
      <c r="BU38" s="43" t="str">
        <f t="shared" si="49"/>
        <v/>
      </c>
      <c r="BV38" s="43" t="str">
        <f t="shared" si="49"/>
        <v/>
      </c>
      <c r="BW38" s="43" t="str">
        <f t="shared" si="49"/>
        <v/>
      </c>
      <c r="BX38" s="43" t="str">
        <f t="shared" si="49"/>
        <v/>
      </c>
      <c r="BY38" s="43" t="str">
        <f t="shared" si="49"/>
        <v/>
      </c>
      <c r="BZ38" s="43" t="str">
        <f t="shared" si="49"/>
        <v/>
      </c>
      <c r="CA38" s="43" t="str">
        <f t="shared" si="49"/>
        <v/>
      </c>
      <c r="CB38" s="43" t="str">
        <f t="shared" si="49"/>
        <v/>
      </c>
      <c r="CC38" s="43" t="str">
        <f t="shared" si="49"/>
        <v/>
      </c>
      <c r="CD38" s="43" t="str">
        <f t="shared" si="49"/>
        <v/>
      </c>
      <c r="CE38" s="43" t="str">
        <f t="shared" si="49"/>
        <v/>
      </c>
      <c r="CF38" s="43" t="str">
        <f t="shared" si="49"/>
        <v/>
      </c>
    </row>
    <row r="39" spans="1:84">
      <c r="A39" s="29" t="s">
        <v>54</v>
      </c>
      <c r="B39" s="43">
        <f>B31+B32-B35-B37</f>
        <v>125309.29829986696</v>
      </c>
      <c r="C39" s="43">
        <f t="shared" ref="C39:AH39" si="50">IF(B21&lt;保险期间,C31+C32-C35-C37,"")</f>
        <v>248397.1208480635</v>
      </c>
      <c r="D39" s="43">
        <f t="shared" si="50"/>
        <v>367505.89904445823</v>
      </c>
      <c r="E39" s="43">
        <f t="shared" si="50"/>
        <v>480748.00835533405</v>
      </c>
      <c r="F39" s="43">
        <f t="shared" si="50"/>
        <v>586373.26612960349</v>
      </c>
      <c r="G39" s="43">
        <f t="shared" si="50"/>
        <v>502410.84399025346</v>
      </c>
      <c r="H39" s="43">
        <f t="shared" si="50"/>
        <v>402866.42358023365</v>
      </c>
      <c r="I39" s="43">
        <f t="shared" si="50"/>
        <v>286690.35860271048</v>
      </c>
      <c r="J39" s="43">
        <f t="shared" si="50"/>
        <v>152809.7611774166</v>
      </c>
      <c r="K39" s="43">
        <f t="shared" si="50"/>
        <v>-5.8207660913467407E-11</v>
      </c>
      <c r="L39" s="43" t="str">
        <f t="shared" si="50"/>
        <v/>
      </c>
      <c r="M39" s="43" t="str">
        <f t="shared" si="50"/>
        <v/>
      </c>
      <c r="N39" s="43" t="str">
        <f t="shared" si="50"/>
        <v/>
      </c>
      <c r="O39" s="43" t="str">
        <f t="shared" si="50"/>
        <v/>
      </c>
      <c r="P39" s="43" t="str">
        <f t="shared" si="50"/>
        <v/>
      </c>
      <c r="Q39" s="43" t="str">
        <f t="shared" si="50"/>
        <v/>
      </c>
      <c r="R39" s="43" t="str">
        <f t="shared" si="50"/>
        <v/>
      </c>
      <c r="S39" s="43" t="str">
        <f t="shared" si="50"/>
        <v/>
      </c>
      <c r="T39" s="43" t="str">
        <f t="shared" si="50"/>
        <v/>
      </c>
      <c r="U39" s="43" t="str">
        <f t="shared" si="50"/>
        <v/>
      </c>
      <c r="V39" s="43" t="str">
        <f t="shared" si="50"/>
        <v/>
      </c>
      <c r="W39" s="43" t="str">
        <f t="shared" si="50"/>
        <v/>
      </c>
      <c r="X39" s="43" t="str">
        <f t="shared" si="50"/>
        <v/>
      </c>
      <c r="Y39" s="43" t="str">
        <f t="shared" si="50"/>
        <v/>
      </c>
      <c r="Z39" s="43" t="str">
        <f t="shared" si="50"/>
        <v/>
      </c>
      <c r="AA39" s="43" t="str">
        <f t="shared" si="50"/>
        <v/>
      </c>
      <c r="AB39" s="43" t="str">
        <f t="shared" si="50"/>
        <v/>
      </c>
      <c r="AC39" s="43" t="str">
        <f t="shared" si="50"/>
        <v/>
      </c>
      <c r="AD39" s="43" t="str">
        <f t="shared" si="50"/>
        <v/>
      </c>
      <c r="AE39" s="43" t="str">
        <f t="shared" si="50"/>
        <v/>
      </c>
      <c r="AF39" s="43" t="str">
        <f t="shared" si="50"/>
        <v/>
      </c>
      <c r="AG39" s="43" t="str">
        <f t="shared" si="50"/>
        <v/>
      </c>
      <c r="AH39" s="43" t="str">
        <f t="shared" si="50"/>
        <v/>
      </c>
      <c r="AI39" s="43" t="str">
        <f t="shared" ref="AI39:BN39" si="51">IF(AH21&lt;保险期间,AI31+AI32-AI35-AI37,"")</f>
        <v/>
      </c>
      <c r="AJ39" s="43" t="str">
        <f t="shared" si="51"/>
        <v/>
      </c>
      <c r="AK39" s="43" t="str">
        <f t="shared" si="51"/>
        <v/>
      </c>
      <c r="AL39" s="43" t="str">
        <f t="shared" si="51"/>
        <v/>
      </c>
      <c r="AM39" s="43" t="str">
        <f t="shared" si="51"/>
        <v/>
      </c>
      <c r="AN39" s="43" t="str">
        <f t="shared" si="51"/>
        <v/>
      </c>
      <c r="AO39" s="43" t="str">
        <f t="shared" si="51"/>
        <v/>
      </c>
      <c r="AP39" s="43" t="str">
        <f t="shared" si="51"/>
        <v/>
      </c>
      <c r="AQ39" s="43" t="str">
        <f t="shared" si="51"/>
        <v/>
      </c>
      <c r="AR39" s="43" t="str">
        <f t="shared" si="51"/>
        <v/>
      </c>
      <c r="AS39" s="43" t="str">
        <f t="shared" si="51"/>
        <v/>
      </c>
      <c r="AT39" s="43" t="str">
        <f t="shared" si="51"/>
        <v/>
      </c>
      <c r="AU39" s="43" t="str">
        <f t="shared" si="51"/>
        <v/>
      </c>
      <c r="AV39" s="43" t="str">
        <f t="shared" si="51"/>
        <v/>
      </c>
      <c r="AW39" s="43" t="str">
        <f t="shared" si="51"/>
        <v/>
      </c>
      <c r="AX39" s="43" t="str">
        <f t="shared" si="51"/>
        <v/>
      </c>
      <c r="AY39" s="43" t="str">
        <f t="shared" si="51"/>
        <v/>
      </c>
      <c r="AZ39" s="43" t="str">
        <f t="shared" si="51"/>
        <v/>
      </c>
      <c r="BA39" s="43" t="str">
        <f t="shared" si="51"/>
        <v/>
      </c>
      <c r="BB39" s="43" t="str">
        <f t="shared" si="51"/>
        <v/>
      </c>
      <c r="BC39" s="43" t="str">
        <f t="shared" si="51"/>
        <v/>
      </c>
      <c r="BD39" s="43" t="str">
        <f t="shared" si="51"/>
        <v/>
      </c>
      <c r="BE39" s="43" t="str">
        <f t="shared" si="51"/>
        <v/>
      </c>
      <c r="BF39" s="43" t="str">
        <f t="shared" si="51"/>
        <v/>
      </c>
      <c r="BG39" s="43" t="str">
        <f t="shared" si="51"/>
        <v/>
      </c>
      <c r="BH39" s="43" t="str">
        <f t="shared" si="51"/>
        <v/>
      </c>
      <c r="BI39" s="43" t="str">
        <f t="shared" si="51"/>
        <v/>
      </c>
      <c r="BJ39" s="43" t="str">
        <f t="shared" si="51"/>
        <v/>
      </c>
      <c r="BK39" s="43" t="str">
        <f t="shared" si="51"/>
        <v/>
      </c>
      <c r="BL39" s="43" t="str">
        <f t="shared" si="51"/>
        <v/>
      </c>
      <c r="BM39" s="43" t="str">
        <f t="shared" si="51"/>
        <v/>
      </c>
      <c r="BN39" s="43" t="str">
        <f t="shared" si="51"/>
        <v/>
      </c>
      <c r="BO39" s="43" t="str">
        <f t="shared" ref="BO39:CF39" si="52">IF(BN21&lt;保险期间,BO31+BO32-BO35-BO37,"")</f>
        <v/>
      </c>
      <c r="BP39" s="43" t="str">
        <f t="shared" si="52"/>
        <v/>
      </c>
      <c r="BQ39" s="43" t="str">
        <f t="shared" si="52"/>
        <v/>
      </c>
      <c r="BR39" s="43" t="str">
        <f t="shared" si="52"/>
        <v/>
      </c>
      <c r="BS39" s="43" t="str">
        <f t="shared" si="52"/>
        <v/>
      </c>
      <c r="BT39" s="43" t="str">
        <f t="shared" si="52"/>
        <v/>
      </c>
      <c r="BU39" s="43" t="str">
        <f t="shared" si="52"/>
        <v/>
      </c>
      <c r="BV39" s="43" t="str">
        <f t="shared" si="52"/>
        <v/>
      </c>
      <c r="BW39" s="43" t="str">
        <f t="shared" si="52"/>
        <v/>
      </c>
      <c r="BX39" s="43" t="str">
        <f t="shared" si="52"/>
        <v/>
      </c>
      <c r="BY39" s="43" t="str">
        <f t="shared" si="52"/>
        <v/>
      </c>
      <c r="BZ39" s="43" t="str">
        <f t="shared" si="52"/>
        <v/>
      </c>
      <c r="CA39" s="43" t="str">
        <f t="shared" si="52"/>
        <v/>
      </c>
      <c r="CB39" s="43" t="str">
        <f t="shared" si="52"/>
        <v/>
      </c>
      <c r="CC39" s="43" t="str">
        <f t="shared" si="52"/>
        <v/>
      </c>
      <c r="CD39" s="43" t="str">
        <f t="shared" si="52"/>
        <v/>
      </c>
      <c r="CE39" s="43" t="str">
        <f t="shared" si="52"/>
        <v/>
      </c>
      <c r="CF39" s="43" t="str">
        <f t="shared" si="52"/>
        <v/>
      </c>
    </row>
    <row r="40" spans="1:84">
      <c r="A40" s="29" t="s">
        <v>33</v>
      </c>
      <c r="B40" s="43">
        <f>B38/B36</f>
        <v>12.609659500041152</v>
      </c>
      <c r="C40" s="43">
        <f t="shared" ref="C40:AH40" si="53">IF(B21&lt;保险期间,C38/C36,"")</f>
        <v>25.169262401913397</v>
      </c>
      <c r="D40" s="43">
        <f t="shared" si="53"/>
        <v>37.527590517080554</v>
      </c>
      <c r="E40" s="43">
        <f t="shared" si="53"/>
        <v>49.522665428967649</v>
      </c>
      <c r="F40" s="43">
        <f t="shared" si="53"/>
        <v>61.005721171537751</v>
      </c>
      <c r="G40" s="43">
        <f t="shared" si="53"/>
        <v>52.861104578729311</v>
      </c>
      <c r="H40" s="43">
        <f t="shared" si="53"/>
        <v>42.927925487920419</v>
      </c>
      <c r="I40" s="43">
        <f t="shared" si="53"/>
        <v>30.985425458875728</v>
      </c>
      <c r="J40" s="43">
        <f t="shared" si="53"/>
        <v>16.779230769230761</v>
      </c>
      <c r="K40" s="43">
        <f t="shared" si="53"/>
        <v>-6.504989716277569E-15</v>
      </c>
      <c r="L40" s="43" t="str">
        <f t="shared" si="53"/>
        <v/>
      </c>
      <c r="M40" s="43" t="str">
        <f t="shared" si="53"/>
        <v/>
      </c>
      <c r="N40" s="43" t="str">
        <f t="shared" si="53"/>
        <v/>
      </c>
      <c r="O40" s="43" t="str">
        <f t="shared" si="53"/>
        <v/>
      </c>
      <c r="P40" s="43" t="str">
        <f t="shared" si="53"/>
        <v/>
      </c>
      <c r="Q40" s="43" t="str">
        <f t="shared" si="53"/>
        <v/>
      </c>
      <c r="R40" s="43" t="str">
        <f t="shared" si="53"/>
        <v/>
      </c>
      <c r="S40" s="43" t="str">
        <f t="shared" si="53"/>
        <v/>
      </c>
      <c r="T40" s="43" t="str">
        <f t="shared" si="53"/>
        <v/>
      </c>
      <c r="U40" s="43" t="str">
        <f t="shared" si="53"/>
        <v/>
      </c>
      <c r="V40" s="43" t="str">
        <f t="shared" si="53"/>
        <v/>
      </c>
      <c r="W40" s="43" t="str">
        <f t="shared" si="53"/>
        <v/>
      </c>
      <c r="X40" s="43" t="str">
        <f t="shared" si="53"/>
        <v/>
      </c>
      <c r="Y40" s="43" t="str">
        <f t="shared" si="53"/>
        <v/>
      </c>
      <c r="Z40" s="43" t="str">
        <f t="shared" si="53"/>
        <v/>
      </c>
      <c r="AA40" s="43" t="str">
        <f t="shared" si="53"/>
        <v/>
      </c>
      <c r="AB40" s="43" t="str">
        <f t="shared" si="53"/>
        <v/>
      </c>
      <c r="AC40" s="43" t="str">
        <f t="shared" si="53"/>
        <v/>
      </c>
      <c r="AD40" s="43" t="str">
        <f t="shared" si="53"/>
        <v/>
      </c>
      <c r="AE40" s="43" t="str">
        <f t="shared" si="53"/>
        <v/>
      </c>
      <c r="AF40" s="43" t="str">
        <f t="shared" si="53"/>
        <v/>
      </c>
      <c r="AG40" s="43" t="str">
        <f t="shared" si="53"/>
        <v/>
      </c>
      <c r="AH40" s="43" t="str">
        <f t="shared" si="53"/>
        <v/>
      </c>
      <c r="AI40" s="43" t="str">
        <f t="shared" ref="AI40:BN40" si="54">IF(AH21&lt;保险期间,AI38/AI36,"")</f>
        <v/>
      </c>
      <c r="AJ40" s="43" t="str">
        <f t="shared" si="54"/>
        <v/>
      </c>
      <c r="AK40" s="43" t="str">
        <f t="shared" si="54"/>
        <v/>
      </c>
      <c r="AL40" s="43" t="str">
        <f t="shared" si="54"/>
        <v/>
      </c>
      <c r="AM40" s="43" t="str">
        <f t="shared" si="54"/>
        <v/>
      </c>
      <c r="AN40" s="43" t="str">
        <f t="shared" si="54"/>
        <v/>
      </c>
      <c r="AO40" s="43" t="str">
        <f t="shared" si="54"/>
        <v/>
      </c>
      <c r="AP40" s="43" t="str">
        <f t="shared" si="54"/>
        <v/>
      </c>
      <c r="AQ40" s="43" t="str">
        <f t="shared" si="54"/>
        <v/>
      </c>
      <c r="AR40" s="43" t="str">
        <f t="shared" si="54"/>
        <v/>
      </c>
      <c r="AS40" s="43" t="str">
        <f t="shared" si="54"/>
        <v/>
      </c>
      <c r="AT40" s="43" t="str">
        <f t="shared" si="54"/>
        <v/>
      </c>
      <c r="AU40" s="43" t="str">
        <f t="shared" si="54"/>
        <v/>
      </c>
      <c r="AV40" s="43" t="str">
        <f t="shared" si="54"/>
        <v/>
      </c>
      <c r="AW40" s="43" t="str">
        <f t="shared" si="54"/>
        <v/>
      </c>
      <c r="AX40" s="43" t="str">
        <f t="shared" si="54"/>
        <v/>
      </c>
      <c r="AY40" s="43" t="str">
        <f t="shared" si="54"/>
        <v/>
      </c>
      <c r="AZ40" s="43" t="str">
        <f t="shared" si="54"/>
        <v/>
      </c>
      <c r="BA40" s="43" t="str">
        <f t="shared" si="54"/>
        <v/>
      </c>
      <c r="BB40" s="43" t="str">
        <f t="shared" si="54"/>
        <v/>
      </c>
      <c r="BC40" s="43" t="str">
        <f t="shared" si="54"/>
        <v/>
      </c>
      <c r="BD40" s="43" t="str">
        <f t="shared" si="54"/>
        <v/>
      </c>
      <c r="BE40" s="43" t="str">
        <f t="shared" si="54"/>
        <v/>
      </c>
      <c r="BF40" s="43" t="str">
        <f t="shared" si="54"/>
        <v/>
      </c>
      <c r="BG40" s="43" t="str">
        <f t="shared" si="54"/>
        <v/>
      </c>
      <c r="BH40" s="43" t="str">
        <f t="shared" si="54"/>
        <v/>
      </c>
      <c r="BI40" s="43" t="str">
        <f t="shared" si="54"/>
        <v/>
      </c>
      <c r="BJ40" s="43" t="str">
        <f t="shared" si="54"/>
        <v/>
      </c>
      <c r="BK40" s="43" t="str">
        <f t="shared" si="54"/>
        <v/>
      </c>
      <c r="BL40" s="43" t="str">
        <f t="shared" si="54"/>
        <v/>
      </c>
      <c r="BM40" s="43" t="str">
        <f t="shared" si="54"/>
        <v/>
      </c>
      <c r="BN40" s="43" t="str">
        <f t="shared" si="54"/>
        <v/>
      </c>
      <c r="BO40" s="43" t="str">
        <f t="shared" ref="BO40:CF40" si="55">IF(BN21&lt;保险期间,BO38/BO36,"")</f>
        <v/>
      </c>
      <c r="BP40" s="43" t="str">
        <f t="shared" si="55"/>
        <v/>
      </c>
      <c r="BQ40" s="43" t="str">
        <f t="shared" si="55"/>
        <v/>
      </c>
      <c r="BR40" s="43" t="str">
        <f t="shared" si="55"/>
        <v/>
      </c>
      <c r="BS40" s="43" t="str">
        <f t="shared" si="55"/>
        <v/>
      </c>
      <c r="BT40" s="43" t="str">
        <f t="shared" si="55"/>
        <v/>
      </c>
      <c r="BU40" s="43" t="str">
        <f t="shared" si="55"/>
        <v/>
      </c>
      <c r="BV40" s="43" t="str">
        <f t="shared" si="55"/>
        <v/>
      </c>
      <c r="BW40" s="43" t="str">
        <f t="shared" si="55"/>
        <v/>
      </c>
      <c r="BX40" s="43" t="str">
        <f t="shared" si="55"/>
        <v/>
      </c>
      <c r="BY40" s="43" t="str">
        <f t="shared" si="55"/>
        <v/>
      </c>
      <c r="BZ40" s="43" t="str">
        <f t="shared" si="55"/>
        <v/>
      </c>
      <c r="CA40" s="43" t="str">
        <f t="shared" si="55"/>
        <v/>
      </c>
      <c r="CB40" s="43" t="str">
        <f t="shared" si="55"/>
        <v/>
      </c>
      <c r="CC40" s="43" t="str">
        <f t="shared" si="55"/>
        <v/>
      </c>
      <c r="CD40" s="43" t="str">
        <f t="shared" si="55"/>
        <v/>
      </c>
      <c r="CE40" s="43" t="str">
        <f t="shared" si="55"/>
        <v/>
      </c>
      <c r="CF40" s="43" t="str">
        <f t="shared" si="55"/>
        <v/>
      </c>
    </row>
    <row r="41" spans="1:84" ht="15.75" customHeight="1"/>
  </sheetData>
  <sheetProtection selectLockedCells="1"/>
  <phoneticPr fontId="4" type="noConversion"/>
  <pageMargins left="0.7" right="0.7" top="0.75" bottom="0.75" header="0.3" footer="0.3"/>
  <pageSetup paperSize="0" orientation="portrait" horizontalDpi="0" verticalDpi="0" copie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CF67"/>
  <sheetViews>
    <sheetView zoomScale="130" zoomScaleNormal="130" workbookViewId="0">
      <selection activeCell="D7" sqref="D7"/>
    </sheetView>
  </sheetViews>
  <sheetFormatPr defaultRowHeight="14.25"/>
  <cols>
    <col min="1" max="1" width="25.375" style="10" customWidth="1"/>
    <col min="2" max="2" width="14.375" style="10" customWidth="1"/>
    <col min="3" max="3" width="14" style="10" customWidth="1"/>
    <col min="4" max="4" width="15.125" style="10" customWidth="1"/>
    <col min="5" max="10" width="16.125" style="10" bestFit="1" customWidth="1"/>
    <col min="11" max="11" width="17.25" style="10" bestFit="1" customWidth="1"/>
    <col min="12" max="256" width="9" style="10"/>
    <col min="257" max="257" width="12.75" style="10" customWidth="1"/>
    <col min="258" max="512" width="9" style="10"/>
    <col min="513" max="513" width="12.75" style="10" customWidth="1"/>
    <col min="514" max="768" width="9" style="10"/>
    <col min="769" max="769" width="12.75" style="10" customWidth="1"/>
    <col min="770" max="1024" width="9" style="10"/>
    <col min="1025" max="1025" width="12.75" style="10" customWidth="1"/>
    <col min="1026" max="1280" width="9" style="10"/>
    <col min="1281" max="1281" width="12.75" style="10" customWidth="1"/>
    <col min="1282" max="1536" width="9" style="10"/>
    <col min="1537" max="1537" width="12.75" style="10" customWidth="1"/>
    <col min="1538" max="1792" width="9" style="10"/>
    <col min="1793" max="1793" width="12.75" style="10" customWidth="1"/>
    <col min="1794" max="2048" width="9" style="10"/>
    <col min="2049" max="2049" width="12.75" style="10" customWidth="1"/>
    <col min="2050" max="2304" width="9" style="10"/>
    <col min="2305" max="2305" width="12.75" style="10" customWidth="1"/>
    <col min="2306" max="2560" width="9" style="10"/>
    <col min="2561" max="2561" width="12.75" style="10" customWidth="1"/>
    <col min="2562" max="2816" width="9" style="10"/>
    <col min="2817" max="2817" width="12.75" style="10" customWidth="1"/>
    <col min="2818" max="3072" width="9" style="10"/>
    <col min="3073" max="3073" width="12.75" style="10" customWidth="1"/>
    <col min="3074" max="3328" width="9" style="10"/>
    <col min="3329" max="3329" width="12.75" style="10" customWidth="1"/>
    <col min="3330" max="3584" width="9" style="10"/>
    <col min="3585" max="3585" width="12.75" style="10" customWidth="1"/>
    <col min="3586" max="3840" width="9" style="10"/>
    <col min="3841" max="3841" width="12.75" style="10" customWidth="1"/>
    <col min="3842" max="4096" width="9" style="10"/>
    <col min="4097" max="4097" width="12.75" style="10" customWidth="1"/>
    <col min="4098" max="4352" width="9" style="10"/>
    <col min="4353" max="4353" width="12.75" style="10" customWidth="1"/>
    <col min="4354" max="4608" width="9" style="10"/>
    <col min="4609" max="4609" width="12.75" style="10" customWidth="1"/>
    <col min="4610" max="4864" width="9" style="10"/>
    <col min="4865" max="4865" width="12.75" style="10" customWidth="1"/>
    <col min="4866" max="5120" width="9" style="10"/>
    <col min="5121" max="5121" width="12.75" style="10" customWidth="1"/>
    <col min="5122" max="5376" width="9" style="10"/>
    <col min="5377" max="5377" width="12.75" style="10" customWidth="1"/>
    <col min="5378" max="5632" width="9" style="10"/>
    <col min="5633" max="5633" width="12.75" style="10" customWidth="1"/>
    <col min="5634" max="5888" width="9" style="10"/>
    <col min="5889" max="5889" width="12.75" style="10" customWidth="1"/>
    <col min="5890" max="6144" width="9" style="10"/>
    <col min="6145" max="6145" width="12.75" style="10" customWidth="1"/>
    <col min="6146" max="6400" width="9" style="10"/>
    <col min="6401" max="6401" width="12.75" style="10" customWidth="1"/>
    <col min="6402" max="6656" width="9" style="10"/>
    <col min="6657" max="6657" width="12.75" style="10" customWidth="1"/>
    <col min="6658" max="6912" width="9" style="10"/>
    <col min="6913" max="6913" width="12.75" style="10" customWidth="1"/>
    <col min="6914" max="7168" width="9" style="10"/>
    <col min="7169" max="7169" width="12.75" style="10" customWidth="1"/>
    <col min="7170" max="7424" width="9" style="10"/>
    <col min="7425" max="7425" width="12.75" style="10" customWidth="1"/>
    <col min="7426" max="7680" width="9" style="10"/>
    <col min="7681" max="7681" width="12.75" style="10" customWidth="1"/>
    <col min="7682" max="7936" width="9" style="10"/>
    <col min="7937" max="7937" width="12.75" style="10" customWidth="1"/>
    <col min="7938" max="8192" width="9" style="10"/>
    <col min="8193" max="8193" width="12.75" style="10" customWidth="1"/>
    <col min="8194" max="8448" width="9" style="10"/>
    <col min="8449" max="8449" width="12.75" style="10" customWidth="1"/>
    <col min="8450" max="8704" width="9" style="10"/>
    <col min="8705" max="8705" width="12.75" style="10" customWidth="1"/>
    <col min="8706" max="8960" width="9" style="10"/>
    <col min="8961" max="8961" width="12.75" style="10" customWidth="1"/>
    <col min="8962" max="9216" width="9" style="10"/>
    <col min="9217" max="9217" width="12.75" style="10" customWidth="1"/>
    <col min="9218" max="9472" width="9" style="10"/>
    <col min="9473" max="9473" width="12.75" style="10" customWidth="1"/>
    <col min="9474" max="9728" width="9" style="10"/>
    <col min="9729" max="9729" width="12.75" style="10" customWidth="1"/>
    <col min="9730" max="9984" width="9" style="10"/>
    <col min="9985" max="9985" width="12.75" style="10" customWidth="1"/>
    <col min="9986" max="10240" width="9" style="10"/>
    <col min="10241" max="10241" width="12.75" style="10" customWidth="1"/>
    <col min="10242" max="10496" width="9" style="10"/>
    <col min="10497" max="10497" width="12.75" style="10" customWidth="1"/>
    <col min="10498" max="10752" width="9" style="10"/>
    <col min="10753" max="10753" width="12.75" style="10" customWidth="1"/>
    <col min="10754" max="11008" width="9" style="10"/>
    <col min="11009" max="11009" width="12.75" style="10" customWidth="1"/>
    <col min="11010" max="11264" width="9" style="10"/>
    <col min="11265" max="11265" width="12.75" style="10" customWidth="1"/>
    <col min="11266" max="11520" width="9" style="10"/>
    <col min="11521" max="11521" width="12.75" style="10" customWidth="1"/>
    <col min="11522" max="11776" width="9" style="10"/>
    <col min="11777" max="11777" width="12.75" style="10" customWidth="1"/>
    <col min="11778" max="12032" width="9" style="10"/>
    <col min="12033" max="12033" width="12.75" style="10" customWidth="1"/>
    <col min="12034" max="12288" width="9" style="10"/>
    <col min="12289" max="12289" width="12.75" style="10" customWidth="1"/>
    <col min="12290" max="12544" width="9" style="10"/>
    <col min="12545" max="12545" width="12.75" style="10" customWidth="1"/>
    <col min="12546" max="12800" width="9" style="10"/>
    <col min="12801" max="12801" width="12.75" style="10" customWidth="1"/>
    <col min="12802" max="13056" width="9" style="10"/>
    <col min="13057" max="13057" width="12.75" style="10" customWidth="1"/>
    <col min="13058" max="13312" width="9" style="10"/>
    <col min="13313" max="13313" width="12.75" style="10" customWidth="1"/>
    <col min="13314" max="13568" width="9" style="10"/>
    <col min="13569" max="13569" width="12.75" style="10" customWidth="1"/>
    <col min="13570" max="13824" width="9" style="10"/>
    <col min="13825" max="13825" width="12.75" style="10" customWidth="1"/>
    <col min="13826" max="14080" width="9" style="10"/>
    <col min="14081" max="14081" width="12.75" style="10" customWidth="1"/>
    <col min="14082" max="14336" width="9" style="10"/>
    <col min="14337" max="14337" width="12.75" style="10" customWidth="1"/>
    <col min="14338" max="14592" width="9" style="10"/>
    <col min="14593" max="14593" width="12.75" style="10" customWidth="1"/>
    <col min="14594" max="14848" width="9" style="10"/>
    <col min="14849" max="14849" width="12.75" style="10" customWidth="1"/>
    <col min="14850" max="15104" width="9" style="10"/>
    <col min="15105" max="15105" width="12.75" style="10" customWidth="1"/>
    <col min="15106" max="15360" width="9" style="10"/>
    <col min="15361" max="15361" width="12.75" style="10" customWidth="1"/>
    <col min="15362" max="15616" width="9" style="10"/>
    <col min="15617" max="15617" width="12.75" style="10" customWidth="1"/>
    <col min="15618" max="15872" width="9" style="10"/>
    <col min="15873" max="15873" width="12.75" style="10" customWidth="1"/>
    <col min="15874" max="16128" width="9" style="10"/>
    <col min="16129" max="16129" width="12.75" style="10" customWidth="1"/>
    <col min="16130" max="16384" width="9" style="10"/>
  </cols>
  <sheetData>
    <row r="2" spans="1:9">
      <c r="A2" s="44" t="s">
        <v>11</v>
      </c>
      <c r="B2" s="45" t="str">
        <f>产品类型</f>
        <v>定期</v>
      </c>
    </row>
    <row r="3" spans="1:9">
      <c r="A3" s="46" t="s">
        <v>12</v>
      </c>
      <c r="B3" s="47">
        <f>保险期间</f>
        <v>10</v>
      </c>
    </row>
    <row r="4" spans="1:9">
      <c r="A4" s="46" t="s">
        <v>13</v>
      </c>
      <c r="B4" s="47">
        <f>保额</f>
        <v>1000</v>
      </c>
    </row>
    <row r="5" spans="1:9">
      <c r="A5" s="46" t="s">
        <v>14</v>
      </c>
      <c r="B5" s="47">
        <f>投保年龄</f>
        <v>55</v>
      </c>
      <c r="C5" s="23"/>
    </row>
    <row r="6" spans="1:9">
      <c r="A6" s="46" t="s">
        <v>15</v>
      </c>
      <c r="B6" s="48" t="str">
        <f>投保性别</f>
        <v>男</v>
      </c>
    </row>
    <row r="7" spans="1:9">
      <c r="A7" s="49" t="s">
        <v>26</v>
      </c>
      <c r="B7" s="47">
        <f>期初保单数</f>
        <v>10000</v>
      </c>
    </row>
    <row r="8" spans="1:9">
      <c r="A8" s="50" t="s">
        <v>18</v>
      </c>
      <c r="B8" s="51">
        <f>缴费期</f>
        <v>5</v>
      </c>
    </row>
    <row r="9" spans="1:9">
      <c r="A9" s="12" t="s">
        <v>16</v>
      </c>
      <c r="B9" s="10" t="str">
        <f>IF(投保性别="男","男(CL1)","女(CL2)")</f>
        <v>男(CL1)</v>
      </c>
      <c r="C9" s="10" t="s">
        <v>23</v>
      </c>
    </row>
    <row r="10" spans="1:9">
      <c r="A10" s="12" t="s">
        <v>41</v>
      </c>
      <c r="B10" s="18">
        <v>1</v>
      </c>
    </row>
    <row r="11" spans="1:9" ht="15" thickBot="1">
      <c r="A11" s="10" t="s">
        <v>64</v>
      </c>
      <c r="B11" s="13">
        <v>0.05</v>
      </c>
    </row>
    <row r="12" spans="1:9" ht="15" thickBot="1">
      <c r="A12" s="10" t="s">
        <v>62</v>
      </c>
      <c r="B12" s="15">
        <f>D12</f>
        <v>37.291266290629885</v>
      </c>
      <c r="C12" s="24">
        <f>INDEX(B43:CZ43,保险期间)</f>
        <v>-6.9849193096160889E-10</v>
      </c>
      <c r="D12" s="22">
        <f>(B15*C16-B16*C15)/(C16-C15)</f>
        <v>37.291266290629885</v>
      </c>
      <c r="H12" s="10">
        <v>87</v>
      </c>
      <c r="I12" s="10" t="s">
        <v>60</v>
      </c>
    </row>
    <row r="13" spans="1:9">
      <c r="B13" s="15"/>
      <c r="C13" s="19"/>
      <c r="D13" s="10" t="s">
        <v>42</v>
      </c>
      <c r="H13" s="10">
        <v>6</v>
      </c>
      <c r="I13" s="10" t="s">
        <v>58</v>
      </c>
    </row>
    <row r="14" spans="1:9">
      <c r="B14" s="20"/>
      <c r="C14" s="21">
        <f>C12</f>
        <v>-6.9849193096160889E-10</v>
      </c>
      <c r="D14" s="10" t="s">
        <v>43</v>
      </c>
      <c r="H14" s="10">
        <v>0.5</v>
      </c>
      <c r="I14" s="10" t="s">
        <v>59</v>
      </c>
    </row>
    <row r="15" spans="1:9">
      <c r="B15" s="20">
        <v>10</v>
      </c>
      <c r="C15" s="21">
        <f t="dataTable" ref="C15:C18" dt2D="0" dtr="0" r1="B12"/>
        <v>-1854328.2726023318</v>
      </c>
      <c r="D15" s="10" t="s">
        <v>44</v>
      </c>
      <c r="H15" s="10">
        <v>11.5</v>
      </c>
      <c r="I15" s="25" t="s">
        <v>56</v>
      </c>
    </row>
    <row r="16" spans="1:9">
      <c r="B16" s="20">
        <v>20</v>
      </c>
      <c r="C16" s="21">
        <v>-1174869.7773990543</v>
      </c>
      <c r="D16" s="10" t="s">
        <v>45</v>
      </c>
      <c r="H16" s="10">
        <v>7</v>
      </c>
      <c r="I16" s="26" t="s">
        <v>57</v>
      </c>
    </row>
    <row r="17" spans="1:84">
      <c r="B17" s="20">
        <v>50</v>
      </c>
      <c r="C17" s="21">
        <v>863505.70821077714</v>
      </c>
      <c r="D17" s="10" t="s">
        <v>46</v>
      </c>
    </row>
    <row r="18" spans="1:84">
      <c r="B18" s="20">
        <v>100</v>
      </c>
      <c r="C18" s="21">
        <v>4260798.1842271639</v>
      </c>
    </row>
    <row r="20" spans="1:84">
      <c r="A20" s="10" t="s">
        <v>19</v>
      </c>
    </row>
    <row r="21" spans="1:84">
      <c r="B21" s="14">
        <v>1</v>
      </c>
      <c r="C21" s="14">
        <f t="shared" ref="C21:AH21" si="0">IF(B21&lt;保险期间,B21+1,"")</f>
        <v>2</v>
      </c>
      <c r="D21" s="14">
        <f t="shared" si="0"/>
        <v>3</v>
      </c>
      <c r="E21" s="14">
        <f t="shared" si="0"/>
        <v>4</v>
      </c>
      <c r="F21" s="14">
        <f t="shared" si="0"/>
        <v>5</v>
      </c>
      <c r="G21" s="14">
        <f t="shared" si="0"/>
        <v>6</v>
      </c>
      <c r="H21" s="14">
        <f t="shared" si="0"/>
        <v>7</v>
      </c>
      <c r="I21" s="14">
        <f t="shared" si="0"/>
        <v>8</v>
      </c>
      <c r="J21" s="14">
        <f t="shared" si="0"/>
        <v>9</v>
      </c>
      <c r="K21" s="14">
        <f t="shared" si="0"/>
        <v>10</v>
      </c>
      <c r="L21" s="14" t="str">
        <f t="shared" si="0"/>
        <v/>
      </c>
      <c r="M21" s="14" t="str">
        <f t="shared" si="0"/>
        <v/>
      </c>
      <c r="N21" s="14" t="str">
        <f t="shared" si="0"/>
        <v/>
      </c>
      <c r="O21" s="14" t="str">
        <f t="shared" si="0"/>
        <v/>
      </c>
      <c r="P21" s="14" t="str">
        <f t="shared" si="0"/>
        <v/>
      </c>
      <c r="Q21" s="14" t="str">
        <f t="shared" si="0"/>
        <v/>
      </c>
      <c r="R21" s="14" t="str">
        <f t="shared" si="0"/>
        <v/>
      </c>
      <c r="S21" s="14" t="str">
        <f t="shared" si="0"/>
        <v/>
      </c>
      <c r="T21" s="14" t="str">
        <f t="shared" si="0"/>
        <v/>
      </c>
      <c r="U21" s="14" t="str">
        <f t="shared" si="0"/>
        <v/>
      </c>
      <c r="V21" s="14" t="str">
        <f t="shared" si="0"/>
        <v/>
      </c>
      <c r="W21" s="14" t="str">
        <f t="shared" si="0"/>
        <v/>
      </c>
      <c r="X21" s="14" t="str">
        <f t="shared" si="0"/>
        <v/>
      </c>
      <c r="Y21" s="14" t="str">
        <f t="shared" si="0"/>
        <v/>
      </c>
      <c r="Z21" s="14" t="str">
        <f t="shared" si="0"/>
        <v/>
      </c>
      <c r="AA21" s="14" t="str">
        <f t="shared" si="0"/>
        <v/>
      </c>
      <c r="AB21" s="14" t="str">
        <f t="shared" si="0"/>
        <v/>
      </c>
      <c r="AC21" s="14" t="str">
        <f t="shared" si="0"/>
        <v/>
      </c>
      <c r="AD21" s="14" t="str">
        <f t="shared" si="0"/>
        <v/>
      </c>
      <c r="AE21" s="14" t="str">
        <f t="shared" si="0"/>
        <v/>
      </c>
      <c r="AF21" s="14" t="str">
        <f t="shared" si="0"/>
        <v/>
      </c>
      <c r="AG21" s="14" t="str">
        <f t="shared" si="0"/>
        <v/>
      </c>
      <c r="AH21" s="14" t="str">
        <f t="shared" si="0"/>
        <v/>
      </c>
      <c r="AI21" s="14" t="str">
        <f t="shared" ref="AI21:BN21" si="1">IF(AH21&lt;保险期间,AH21+1,"")</f>
        <v/>
      </c>
      <c r="AJ21" s="14" t="str">
        <f t="shared" si="1"/>
        <v/>
      </c>
      <c r="AK21" s="14" t="str">
        <f t="shared" si="1"/>
        <v/>
      </c>
      <c r="AL21" s="14" t="str">
        <f t="shared" si="1"/>
        <v/>
      </c>
      <c r="AM21" s="14" t="str">
        <f t="shared" si="1"/>
        <v/>
      </c>
      <c r="AN21" s="14" t="str">
        <f t="shared" si="1"/>
        <v/>
      </c>
      <c r="AO21" s="14" t="str">
        <f t="shared" si="1"/>
        <v/>
      </c>
      <c r="AP21" s="14" t="str">
        <f t="shared" si="1"/>
        <v/>
      </c>
      <c r="AQ21" s="14" t="str">
        <f t="shared" si="1"/>
        <v/>
      </c>
      <c r="AR21" s="14" t="str">
        <f t="shared" si="1"/>
        <v/>
      </c>
      <c r="AS21" s="14" t="str">
        <f t="shared" si="1"/>
        <v/>
      </c>
      <c r="AT21" s="14" t="str">
        <f t="shared" si="1"/>
        <v/>
      </c>
      <c r="AU21" s="14" t="str">
        <f t="shared" si="1"/>
        <v/>
      </c>
      <c r="AV21" s="14" t="str">
        <f t="shared" si="1"/>
        <v/>
      </c>
      <c r="AW21" s="14" t="str">
        <f t="shared" si="1"/>
        <v/>
      </c>
      <c r="AX21" s="14" t="str">
        <f t="shared" si="1"/>
        <v/>
      </c>
      <c r="AY21" s="14" t="str">
        <f t="shared" si="1"/>
        <v/>
      </c>
      <c r="AZ21" s="14" t="str">
        <f t="shared" si="1"/>
        <v/>
      </c>
      <c r="BA21" s="14" t="str">
        <f t="shared" si="1"/>
        <v/>
      </c>
      <c r="BB21" s="14" t="str">
        <f t="shared" si="1"/>
        <v/>
      </c>
      <c r="BC21" s="14" t="str">
        <f t="shared" si="1"/>
        <v/>
      </c>
      <c r="BD21" s="14" t="str">
        <f t="shared" si="1"/>
        <v/>
      </c>
      <c r="BE21" s="14" t="str">
        <f t="shared" si="1"/>
        <v/>
      </c>
      <c r="BF21" s="14" t="str">
        <f t="shared" si="1"/>
        <v/>
      </c>
      <c r="BG21" s="14" t="str">
        <f t="shared" si="1"/>
        <v/>
      </c>
      <c r="BH21" s="14" t="str">
        <f t="shared" si="1"/>
        <v/>
      </c>
      <c r="BI21" s="14" t="str">
        <f t="shared" si="1"/>
        <v/>
      </c>
      <c r="BJ21" s="14" t="str">
        <f t="shared" si="1"/>
        <v/>
      </c>
      <c r="BK21" s="14" t="str">
        <f t="shared" si="1"/>
        <v/>
      </c>
      <c r="BL21" s="14" t="str">
        <f t="shared" si="1"/>
        <v/>
      </c>
      <c r="BM21" s="14" t="str">
        <f t="shared" si="1"/>
        <v/>
      </c>
      <c r="BN21" s="14" t="str">
        <f t="shared" si="1"/>
        <v/>
      </c>
      <c r="BO21" s="14" t="str">
        <f t="shared" ref="BO21:CF21" si="2">IF(BN21&lt;保险期间,BN21+1,"")</f>
        <v/>
      </c>
      <c r="BP21" s="14" t="str">
        <f t="shared" si="2"/>
        <v/>
      </c>
      <c r="BQ21" s="14" t="str">
        <f t="shared" si="2"/>
        <v/>
      </c>
      <c r="BR21" s="14" t="str">
        <f t="shared" si="2"/>
        <v/>
      </c>
      <c r="BS21" s="14" t="str">
        <f t="shared" si="2"/>
        <v/>
      </c>
      <c r="BT21" s="14" t="str">
        <f t="shared" si="2"/>
        <v/>
      </c>
      <c r="BU21" s="14" t="str">
        <f t="shared" si="2"/>
        <v/>
      </c>
      <c r="BV21" s="14" t="str">
        <f t="shared" si="2"/>
        <v/>
      </c>
      <c r="BW21" s="14" t="str">
        <f t="shared" si="2"/>
        <v/>
      </c>
      <c r="BX21" s="14" t="str">
        <f t="shared" si="2"/>
        <v/>
      </c>
      <c r="BY21" s="14" t="str">
        <f t="shared" si="2"/>
        <v/>
      </c>
      <c r="BZ21" s="14" t="str">
        <f t="shared" si="2"/>
        <v/>
      </c>
      <c r="CA21" s="14" t="str">
        <f t="shared" si="2"/>
        <v/>
      </c>
      <c r="CB21" s="14" t="str">
        <f t="shared" si="2"/>
        <v/>
      </c>
      <c r="CC21" s="14" t="str">
        <f t="shared" si="2"/>
        <v/>
      </c>
      <c r="CD21" s="14" t="str">
        <f t="shared" si="2"/>
        <v/>
      </c>
      <c r="CE21" s="14" t="str">
        <f t="shared" si="2"/>
        <v/>
      </c>
      <c r="CF21" s="14" t="str">
        <f t="shared" si="2"/>
        <v/>
      </c>
    </row>
    <row r="22" spans="1:84">
      <c r="A22" s="10" t="s">
        <v>20</v>
      </c>
      <c r="B22" s="10">
        <f>定价死亡率因子*HLOOKUP(定价生命表,生命表,投保年龄+2+B21)</f>
        <v>5.2030000000000002E-3</v>
      </c>
      <c r="C22" s="10">
        <f t="shared" ref="C22:AH22" si="3">IF(B21&lt;保险期间,定价死亡率因子*HLOOKUP(定价生命表,生命表,投保年龄+2+C21),"")</f>
        <v>5.744E-3</v>
      </c>
      <c r="D22" s="10">
        <f t="shared" si="3"/>
        <v>6.4270000000000004E-3</v>
      </c>
      <c r="E22" s="10">
        <f t="shared" si="3"/>
        <v>7.26E-3</v>
      </c>
      <c r="F22" s="10">
        <f t="shared" si="3"/>
        <v>8.2290000000000002E-3</v>
      </c>
      <c r="G22" s="10">
        <f t="shared" si="3"/>
        <v>9.3130000000000001E-3</v>
      </c>
      <c r="H22" s="10">
        <f t="shared" si="3"/>
        <v>1.0489999999999999E-2</v>
      </c>
      <c r="I22" s="10">
        <f t="shared" si="3"/>
        <v>1.1747E-2</v>
      </c>
      <c r="J22" s="10">
        <f t="shared" si="3"/>
        <v>1.3091E-2</v>
      </c>
      <c r="K22" s="10">
        <f t="shared" si="3"/>
        <v>1.4541999999999999E-2</v>
      </c>
      <c r="L22" s="10" t="str">
        <f t="shared" si="3"/>
        <v/>
      </c>
      <c r="M22" s="10" t="str">
        <f t="shared" si="3"/>
        <v/>
      </c>
      <c r="N22" s="10" t="str">
        <f t="shared" si="3"/>
        <v/>
      </c>
      <c r="O22" s="10" t="str">
        <f t="shared" si="3"/>
        <v/>
      </c>
      <c r="P22" s="10" t="str">
        <f t="shared" si="3"/>
        <v/>
      </c>
      <c r="Q22" s="10" t="str">
        <f t="shared" si="3"/>
        <v/>
      </c>
      <c r="R22" s="10" t="str">
        <f t="shared" si="3"/>
        <v/>
      </c>
      <c r="S22" s="10" t="str">
        <f t="shared" si="3"/>
        <v/>
      </c>
      <c r="T22" s="10" t="str">
        <f t="shared" si="3"/>
        <v/>
      </c>
      <c r="U22" s="10" t="str">
        <f t="shared" si="3"/>
        <v/>
      </c>
      <c r="V22" s="10" t="str">
        <f t="shared" si="3"/>
        <v/>
      </c>
      <c r="W22" s="10" t="str">
        <f t="shared" si="3"/>
        <v/>
      </c>
      <c r="X22" s="10" t="str">
        <f t="shared" si="3"/>
        <v/>
      </c>
      <c r="Y22" s="10" t="str">
        <f t="shared" si="3"/>
        <v/>
      </c>
      <c r="Z22" s="10" t="str">
        <f t="shared" si="3"/>
        <v/>
      </c>
      <c r="AA22" s="10" t="str">
        <f t="shared" si="3"/>
        <v/>
      </c>
      <c r="AB22" s="10" t="str">
        <f t="shared" si="3"/>
        <v/>
      </c>
      <c r="AC22" s="10" t="str">
        <f t="shared" si="3"/>
        <v/>
      </c>
      <c r="AD22" s="10" t="str">
        <f t="shared" si="3"/>
        <v/>
      </c>
      <c r="AE22" s="10" t="str">
        <f t="shared" si="3"/>
        <v/>
      </c>
      <c r="AF22" s="10" t="str">
        <f t="shared" si="3"/>
        <v/>
      </c>
      <c r="AG22" s="10" t="str">
        <f t="shared" si="3"/>
        <v/>
      </c>
      <c r="AH22" s="10" t="str">
        <f t="shared" si="3"/>
        <v/>
      </c>
      <c r="AI22" s="10" t="str">
        <f t="shared" ref="AI22:BN22" si="4">IF(AH21&lt;保险期间,定价死亡率因子*HLOOKUP(定价生命表,生命表,投保年龄+2+AI21),"")</f>
        <v/>
      </c>
      <c r="AJ22" s="10" t="str">
        <f t="shared" si="4"/>
        <v/>
      </c>
      <c r="AK22" s="10" t="str">
        <f t="shared" si="4"/>
        <v/>
      </c>
      <c r="AL22" s="10" t="str">
        <f t="shared" si="4"/>
        <v/>
      </c>
      <c r="AM22" s="10" t="str">
        <f t="shared" si="4"/>
        <v/>
      </c>
      <c r="AN22" s="10" t="str">
        <f t="shared" si="4"/>
        <v/>
      </c>
      <c r="AO22" s="10" t="str">
        <f t="shared" si="4"/>
        <v/>
      </c>
      <c r="AP22" s="10" t="str">
        <f t="shared" si="4"/>
        <v/>
      </c>
      <c r="AQ22" s="10" t="str">
        <f t="shared" si="4"/>
        <v/>
      </c>
      <c r="AR22" s="10" t="str">
        <f t="shared" si="4"/>
        <v/>
      </c>
      <c r="AS22" s="10" t="str">
        <f t="shared" si="4"/>
        <v/>
      </c>
      <c r="AT22" s="10" t="str">
        <f t="shared" si="4"/>
        <v/>
      </c>
      <c r="AU22" s="10" t="str">
        <f t="shared" si="4"/>
        <v/>
      </c>
      <c r="AV22" s="10" t="str">
        <f t="shared" si="4"/>
        <v/>
      </c>
      <c r="AW22" s="10" t="str">
        <f t="shared" si="4"/>
        <v/>
      </c>
      <c r="AX22" s="10" t="str">
        <f t="shared" si="4"/>
        <v/>
      </c>
      <c r="AY22" s="10" t="str">
        <f t="shared" si="4"/>
        <v/>
      </c>
      <c r="AZ22" s="10" t="str">
        <f t="shared" si="4"/>
        <v/>
      </c>
      <c r="BA22" s="10" t="str">
        <f t="shared" si="4"/>
        <v/>
      </c>
      <c r="BB22" s="10" t="str">
        <f t="shared" si="4"/>
        <v/>
      </c>
      <c r="BC22" s="10" t="str">
        <f t="shared" si="4"/>
        <v/>
      </c>
      <c r="BD22" s="10" t="str">
        <f t="shared" si="4"/>
        <v/>
      </c>
      <c r="BE22" s="10" t="str">
        <f t="shared" si="4"/>
        <v/>
      </c>
      <c r="BF22" s="10" t="str">
        <f t="shared" si="4"/>
        <v/>
      </c>
      <c r="BG22" s="10" t="str">
        <f t="shared" si="4"/>
        <v/>
      </c>
      <c r="BH22" s="10" t="str">
        <f t="shared" si="4"/>
        <v/>
      </c>
      <c r="BI22" s="10" t="str">
        <f t="shared" si="4"/>
        <v/>
      </c>
      <c r="BJ22" s="10" t="str">
        <f t="shared" si="4"/>
        <v/>
      </c>
      <c r="BK22" s="10" t="str">
        <f t="shared" si="4"/>
        <v/>
      </c>
      <c r="BL22" s="10" t="str">
        <f t="shared" si="4"/>
        <v/>
      </c>
      <c r="BM22" s="10" t="str">
        <f t="shared" si="4"/>
        <v/>
      </c>
      <c r="BN22" s="10" t="str">
        <f t="shared" si="4"/>
        <v/>
      </c>
      <c r="BO22" s="10" t="str">
        <f t="shared" ref="BO22:CF22" si="5">IF(BN21&lt;保险期间,定价死亡率因子*HLOOKUP(定价生命表,生命表,投保年龄+2+BO21),"")</f>
        <v/>
      </c>
      <c r="BP22" s="10" t="str">
        <f t="shared" si="5"/>
        <v/>
      </c>
      <c r="BQ22" s="10" t="str">
        <f t="shared" si="5"/>
        <v/>
      </c>
      <c r="BR22" s="10" t="str">
        <f t="shared" si="5"/>
        <v/>
      </c>
      <c r="BS22" s="10" t="str">
        <f t="shared" si="5"/>
        <v/>
      </c>
      <c r="BT22" s="10" t="str">
        <f t="shared" si="5"/>
        <v/>
      </c>
      <c r="BU22" s="10" t="str">
        <f t="shared" si="5"/>
        <v/>
      </c>
      <c r="BV22" s="10" t="str">
        <f t="shared" si="5"/>
        <v/>
      </c>
      <c r="BW22" s="10" t="str">
        <f t="shared" si="5"/>
        <v/>
      </c>
      <c r="BX22" s="10" t="str">
        <f t="shared" si="5"/>
        <v/>
      </c>
      <c r="BY22" s="10" t="str">
        <f t="shared" si="5"/>
        <v/>
      </c>
      <c r="BZ22" s="10" t="str">
        <f t="shared" si="5"/>
        <v/>
      </c>
      <c r="CA22" s="10" t="str">
        <f t="shared" si="5"/>
        <v/>
      </c>
      <c r="CB22" s="10" t="str">
        <f t="shared" si="5"/>
        <v/>
      </c>
      <c r="CC22" s="10" t="str">
        <f t="shared" si="5"/>
        <v/>
      </c>
      <c r="CD22" s="10" t="str">
        <f t="shared" si="5"/>
        <v/>
      </c>
      <c r="CE22" s="10" t="str">
        <f t="shared" si="5"/>
        <v/>
      </c>
      <c r="CF22" s="10" t="str">
        <f t="shared" si="5"/>
        <v/>
      </c>
    </row>
    <row r="23" spans="1:84">
      <c r="A23" s="10" t="s">
        <v>21</v>
      </c>
      <c r="B23" s="10">
        <f>定价利率</f>
        <v>0.05</v>
      </c>
      <c r="C23" s="10">
        <f t="shared" ref="C23:AH23" si="6">IF(B21&lt;保险期间,定价利率,"")</f>
        <v>0.05</v>
      </c>
      <c r="D23" s="10">
        <f t="shared" si="6"/>
        <v>0.05</v>
      </c>
      <c r="E23" s="10">
        <f t="shared" si="6"/>
        <v>0.05</v>
      </c>
      <c r="F23" s="10">
        <f t="shared" si="6"/>
        <v>0.05</v>
      </c>
      <c r="G23" s="10">
        <f t="shared" si="6"/>
        <v>0.05</v>
      </c>
      <c r="H23" s="10">
        <f t="shared" si="6"/>
        <v>0.05</v>
      </c>
      <c r="I23" s="10">
        <f t="shared" si="6"/>
        <v>0.05</v>
      </c>
      <c r="J23" s="10">
        <f t="shared" si="6"/>
        <v>0.05</v>
      </c>
      <c r="K23" s="10">
        <f t="shared" si="6"/>
        <v>0.05</v>
      </c>
      <c r="L23" s="10" t="str">
        <f t="shared" si="6"/>
        <v/>
      </c>
      <c r="M23" s="10" t="str">
        <f t="shared" si="6"/>
        <v/>
      </c>
      <c r="N23" s="10" t="str">
        <f t="shared" si="6"/>
        <v/>
      </c>
      <c r="O23" s="10" t="str">
        <f t="shared" si="6"/>
        <v/>
      </c>
      <c r="P23" s="10" t="str">
        <f t="shared" si="6"/>
        <v/>
      </c>
      <c r="Q23" s="10" t="str">
        <f t="shared" si="6"/>
        <v/>
      </c>
      <c r="R23" s="10" t="str">
        <f t="shared" si="6"/>
        <v/>
      </c>
      <c r="S23" s="10" t="str">
        <f t="shared" si="6"/>
        <v/>
      </c>
      <c r="T23" s="10" t="str">
        <f t="shared" si="6"/>
        <v/>
      </c>
      <c r="U23" s="10" t="str">
        <f t="shared" si="6"/>
        <v/>
      </c>
      <c r="V23" s="10" t="str">
        <f t="shared" si="6"/>
        <v/>
      </c>
      <c r="W23" s="10" t="str">
        <f t="shared" si="6"/>
        <v/>
      </c>
      <c r="X23" s="10" t="str">
        <f t="shared" si="6"/>
        <v/>
      </c>
      <c r="Y23" s="10" t="str">
        <f t="shared" si="6"/>
        <v/>
      </c>
      <c r="Z23" s="10" t="str">
        <f t="shared" si="6"/>
        <v/>
      </c>
      <c r="AA23" s="10" t="str">
        <f t="shared" si="6"/>
        <v/>
      </c>
      <c r="AB23" s="10" t="str">
        <f t="shared" si="6"/>
        <v/>
      </c>
      <c r="AC23" s="10" t="str">
        <f t="shared" si="6"/>
        <v/>
      </c>
      <c r="AD23" s="10" t="str">
        <f t="shared" si="6"/>
        <v/>
      </c>
      <c r="AE23" s="10" t="str">
        <f t="shared" si="6"/>
        <v/>
      </c>
      <c r="AF23" s="10" t="str">
        <f t="shared" si="6"/>
        <v/>
      </c>
      <c r="AG23" s="10" t="str">
        <f t="shared" si="6"/>
        <v/>
      </c>
      <c r="AH23" s="10" t="str">
        <f t="shared" si="6"/>
        <v/>
      </c>
      <c r="AI23" s="10" t="str">
        <f t="shared" ref="AI23:BN23" si="7">IF(AH21&lt;保险期间,定价利率,"")</f>
        <v/>
      </c>
      <c r="AJ23" s="10" t="str">
        <f t="shared" si="7"/>
        <v/>
      </c>
      <c r="AK23" s="10" t="str">
        <f t="shared" si="7"/>
        <v/>
      </c>
      <c r="AL23" s="10" t="str">
        <f t="shared" si="7"/>
        <v/>
      </c>
      <c r="AM23" s="10" t="str">
        <f t="shared" si="7"/>
        <v/>
      </c>
      <c r="AN23" s="10" t="str">
        <f t="shared" si="7"/>
        <v/>
      </c>
      <c r="AO23" s="10" t="str">
        <f t="shared" si="7"/>
        <v/>
      </c>
      <c r="AP23" s="10" t="str">
        <f t="shared" si="7"/>
        <v/>
      </c>
      <c r="AQ23" s="10" t="str">
        <f t="shared" si="7"/>
        <v/>
      </c>
      <c r="AR23" s="10" t="str">
        <f t="shared" si="7"/>
        <v/>
      </c>
      <c r="AS23" s="10" t="str">
        <f t="shared" si="7"/>
        <v/>
      </c>
      <c r="AT23" s="10" t="str">
        <f t="shared" si="7"/>
        <v/>
      </c>
      <c r="AU23" s="10" t="str">
        <f t="shared" si="7"/>
        <v/>
      </c>
      <c r="AV23" s="10" t="str">
        <f t="shared" si="7"/>
        <v/>
      </c>
      <c r="AW23" s="10" t="str">
        <f t="shared" si="7"/>
        <v/>
      </c>
      <c r="AX23" s="10" t="str">
        <f t="shared" si="7"/>
        <v/>
      </c>
      <c r="AY23" s="10" t="str">
        <f t="shared" si="7"/>
        <v/>
      </c>
      <c r="AZ23" s="10" t="str">
        <f t="shared" si="7"/>
        <v/>
      </c>
      <c r="BA23" s="10" t="str">
        <f t="shared" si="7"/>
        <v/>
      </c>
      <c r="BB23" s="10" t="str">
        <f t="shared" si="7"/>
        <v/>
      </c>
      <c r="BC23" s="10" t="str">
        <f t="shared" si="7"/>
        <v/>
      </c>
      <c r="BD23" s="10" t="str">
        <f t="shared" si="7"/>
        <v/>
      </c>
      <c r="BE23" s="10" t="str">
        <f t="shared" si="7"/>
        <v/>
      </c>
      <c r="BF23" s="10" t="str">
        <f t="shared" si="7"/>
        <v/>
      </c>
      <c r="BG23" s="10" t="str">
        <f t="shared" si="7"/>
        <v/>
      </c>
      <c r="BH23" s="10" t="str">
        <f t="shared" si="7"/>
        <v/>
      </c>
      <c r="BI23" s="10" t="str">
        <f t="shared" si="7"/>
        <v/>
      </c>
      <c r="BJ23" s="10" t="str">
        <f t="shared" si="7"/>
        <v/>
      </c>
      <c r="BK23" s="10" t="str">
        <f t="shared" si="7"/>
        <v/>
      </c>
      <c r="BL23" s="10" t="str">
        <f t="shared" si="7"/>
        <v/>
      </c>
      <c r="BM23" s="10" t="str">
        <f t="shared" si="7"/>
        <v/>
      </c>
      <c r="BN23" s="10" t="str">
        <f t="shared" si="7"/>
        <v/>
      </c>
      <c r="BO23" s="10" t="str">
        <f t="shared" ref="BO23:CF23" si="8">IF(BN21&lt;保险期间,定价利率,"")</f>
        <v/>
      </c>
      <c r="BP23" s="10" t="str">
        <f t="shared" si="8"/>
        <v/>
      </c>
      <c r="BQ23" s="10" t="str">
        <f t="shared" si="8"/>
        <v/>
      </c>
      <c r="BR23" s="10" t="str">
        <f t="shared" si="8"/>
        <v/>
      </c>
      <c r="BS23" s="10" t="str">
        <f t="shared" si="8"/>
        <v/>
      </c>
      <c r="BT23" s="10" t="str">
        <f t="shared" si="8"/>
        <v/>
      </c>
      <c r="BU23" s="10" t="str">
        <f t="shared" si="8"/>
        <v/>
      </c>
      <c r="BV23" s="10" t="str">
        <f t="shared" si="8"/>
        <v/>
      </c>
      <c r="BW23" s="10" t="str">
        <f t="shared" si="8"/>
        <v/>
      </c>
      <c r="BX23" s="10" t="str">
        <f t="shared" si="8"/>
        <v/>
      </c>
      <c r="BY23" s="10" t="str">
        <f t="shared" si="8"/>
        <v/>
      </c>
      <c r="BZ23" s="10" t="str">
        <f t="shared" si="8"/>
        <v/>
      </c>
      <c r="CA23" s="10" t="str">
        <f t="shared" si="8"/>
        <v/>
      </c>
      <c r="CB23" s="10" t="str">
        <f t="shared" si="8"/>
        <v/>
      </c>
      <c r="CC23" s="10" t="str">
        <f t="shared" si="8"/>
        <v/>
      </c>
      <c r="CD23" s="10" t="str">
        <f t="shared" si="8"/>
        <v/>
      </c>
      <c r="CE23" s="10" t="str">
        <f t="shared" si="8"/>
        <v/>
      </c>
      <c r="CF23" s="10" t="str">
        <f t="shared" si="8"/>
        <v/>
      </c>
    </row>
    <row r="24" spans="1:84">
      <c r="A24" s="10" t="s">
        <v>22</v>
      </c>
      <c r="B24" s="10">
        <f>IF(B21&lt;=缴费期,1,0)</f>
        <v>1</v>
      </c>
      <c r="C24" s="10">
        <f t="shared" ref="C24:AH24" si="9">IF(B21&lt;保险期间,IF(C21&lt;=缴费期,1,0),"")</f>
        <v>1</v>
      </c>
      <c r="D24" s="10">
        <f t="shared" si="9"/>
        <v>1</v>
      </c>
      <c r="E24" s="10">
        <f t="shared" si="9"/>
        <v>1</v>
      </c>
      <c r="F24" s="10">
        <f t="shared" si="9"/>
        <v>1</v>
      </c>
      <c r="G24" s="10">
        <f t="shared" si="9"/>
        <v>0</v>
      </c>
      <c r="H24" s="10">
        <f t="shared" si="9"/>
        <v>0</v>
      </c>
      <c r="I24" s="10">
        <f t="shared" si="9"/>
        <v>0</v>
      </c>
      <c r="J24" s="10">
        <f t="shared" si="9"/>
        <v>0</v>
      </c>
      <c r="K24" s="10">
        <f t="shared" si="9"/>
        <v>0</v>
      </c>
      <c r="L24" s="10" t="str">
        <f t="shared" si="9"/>
        <v/>
      </c>
      <c r="M24" s="10" t="str">
        <f t="shared" si="9"/>
        <v/>
      </c>
      <c r="N24" s="10" t="str">
        <f t="shared" si="9"/>
        <v/>
      </c>
      <c r="O24" s="10" t="str">
        <f t="shared" si="9"/>
        <v/>
      </c>
      <c r="P24" s="10" t="str">
        <f t="shared" si="9"/>
        <v/>
      </c>
      <c r="Q24" s="10" t="str">
        <f t="shared" si="9"/>
        <v/>
      </c>
      <c r="R24" s="10" t="str">
        <f t="shared" si="9"/>
        <v/>
      </c>
      <c r="S24" s="10" t="str">
        <f t="shared" si="9"/>
        <v/>
      </c>
      <c r="T24" s="10" t="str">
        <f t="shared" si="9"/>
        <v/>
      </c>
      <c r="U24" s="10" t="str">
        <f t="shared" si="9"/>
        <v/>
      </c>
      <c r="V24" s="10" t="str">
        <f t="shared" si="9"/>
        <v/>
      </c>
      <c r="W24" s="10" t="str">
        <f t="shared" si="9"/>
        <v/>
      </c>
      <c r="X24" s="10" t="str">
        <f t="shared" si="9"/>
        <v/>
      </c>
      <c r="Y24" s="10" t="str">
        <f t="shared" si="9"/>
        <v/>
      </c>
      <c r="Z24" s="10" t="str">
        <f t="shared" si="9"/>
        <v/>
      </c>
      <c r="AA24" s="10" t="str">
        <f t="shared" si="9"/>
        <v/>
      </c>
      <c r="AB24" s="10" t="str">
        <f t="shared" si="9"/>
        <v/>
      </c>
      <c r="AC24" s="10" t="str">
        <f t="shared" si="9"/>
        <v/>
      </c>
      <c r="AD24" s="10" t="str">
        <f t="shared" si="9"/>
        <v/>
      </c>
      <c r="AE24" s="10" t="str">
        <f t="shared" si="9"/>
        <v/>
      </c>
      <c r="AF24" s="10" t="str">
        <f t="shared" si="9"/>
        <v/>
      </c>
      <c r="AG24" s="10" t="str">
        <f t="shared" si="9"/>
        <v/>
      </c>
      <c r="AH24" s="10" t="str">
        <f t="shared" si="9"/>
        <v/>
      </c>
      <c r="AI24" s="10" t="str">
        <f t="shared" ref="AI24:BN24" si="10">IF(AH21&lt;保险期间,IF(AI21&lt;=缴费期,1,0),"")</f>
        <v/>
      </c>
      <c r="AJ24" s="10" t="str">
        <f t="shared" si="10"/>
        <v/>
      </c>
      <c r="AK24" s="10" t="str">
        <f t="shared" si="10"/>
        <v/>
      </c>
      <c r="AL24" s="10" t="str">
        <f t="shared" si="10"/>
        <v/>
      </c>
      <c r="AM24" s="10" t="str">
        <f t="shared" si="10"/>
        <v/>
      </c>
      <c r="AN24" s="10" t="str">
        <f t="shared" si="10"/>
        <v/>
      </c>
      <c r="AO24" s="10" t="str">
        <f t="shared" si="10"/>
        <v/>
      </c>
      <c r="AP24" s="10" t="str">
        <f t="shared" si="10"/>
        <v/>
      </c>
      <c r="AQ24" s="10" t="str">
        <f t="shared" si="10"/>
        <v/>
      </c>
      <c r="AR24" s="10" t="str">
        <f t="shared" si="10"/>
        <v/>
      </c>
      <c r="AS24" s="10" t="str">
        <f t="shared" si="10"/>
        <v/>
      </c>
      <c r="AT24" s="10" t="str">
        <f t="shared" si="10"/>
        <v/>
      </c>
      <c r="AU24" s="10" t="str">
        <f t="shared" si="10"/>
        <v/>
      </c>
      <c r="AV24" s="10" t="str">
        <f t="shared" si="10"/>
        <v/>
      </c>
      <c r="AW24" s="10" t="str">
        <f t="shared" si="10"/>
        <v/>
      </c>
      <c r="AX24" s="10" t="str">
        <f t="shared" si="10"/>
        <v/>
      </c>
      <c r="AY24" s="10" t="str">
        <f t="shared" si="10"/>
        <v/>
      </c>
      <c r="AZ24" s="10" t="str">
        <f t="shared" si="10"/>
        <v/>
      </c>
      <c r="BA24" s="10" t="str">
        <f t="shared" si="10"/>
        <v/>
      </c>
      <c r="BB24" s="10" t="str">
        <f t="shared" si="10"/>
        <v/>
      </c>
      <c r="BC24" s="10" t="str">
        <f t="shared" si="10"/>
        <v/>
      </c>
      <c r="BD24" s="10" t="str">
        <f t="shared" si="10"/>
        <v/>
      </c>
      <c r="BE24" s="10" t="str">
        <f t="shared" si="10"/>
        <v/>
      </c>
      <c r="BF24" s="10" t="str">
        <f t="shared" si="10"/>
        <v/>
      </c>
      <c r="BG24" s="10" t="str">
        <f t="shared" si="10"/>
        <v/>
      </c>
      <c r="BH24" s="10" t="str">
        <f t="shared" si="10"/>
        <v/>
      </c>
      <c r="BI24" s="10" t="str">
        <f t="shared" si="10"/>
        <v/>
      </c>
      <c r="BJ24" s="10" t="str">
        <f t="shared" si="10"/>
        <v/>
      </c>
      <c r="BK24" s="10" t="str">
        <f t="shared" si="10"/>
        <v/>
      </c>
      <c r="BL24" s="10" t="str">
        <f t="shared" si="10"/>
        <v/>
      </c>
      <c r="BM24" s="10" t="str">
        <f t="shared" si="10"/>
        <v/>
      </c>
      <c r="BN24" s="10" t="str">
        <f t="shared" si="10"/>
        <v/>
      </c>
      <c r="BO24" s="10" t="str">
        <f t="shared" ref="BO24:CF24" si="11">IF(BN21&lt;保险期间,IF(BO21&lt;=缴费期,1,0),"")</f>
        <v/>
      </c>
      <c r="BP24" s="10" t="str">
        <f t="shared" si="11"/>
        <v/>
      </c>
      <c r="BQ24" s="10" t="str">
        <f t="shared" si="11"/>
        <v/>
      </c>
      <c r="BR24" s="10" t="str">
        <f t="shared" si="11"/>
        <v/>
      </c>
      <c r="BS24" s="10" t="str">
        <f t="shared" si="11"/>
        <v/>
      </c>
      <c r="BT24" s="10" t="str">
        <f t="shared" si="11"/>
        <v/>
      </c>
      <c r="BU24" s="10" t="str">
        <f t="shared" si="11"/>
        <v/>
      </c>
      <c r="BV24" s="10" t="str">
        <f t="shared" si="11"/>
        <v/>
      </c>
      <c r="BW24" s="10" t="str">
        <f t="shared" si="11"/>
        <v/>
      </c>
      <c r="BX24" s="10" t="str">
        <f t="shared" si="11"/>
        <v/>
      </c>
      <c r="BY24" s="10" t="str">
        <f t="shared" si="11"/>
        <v/>
      </c>
      <c r="BZ24" s="10" t="str">
        <f t="shared" si="11"/>
        <v/>
      </c>
      <c r="CA24" s="10" t="str">
        <f t="shared" si="11"/>
        <v/>
      </c>
      <c r="CB24" s="10" t="str">
        <f t="shared" si="11"/>
        <v/>
      </c>
      <c r="CC24" s="10" t="str">
        <f t="shared" si="11"/>
        <v/>
      </c>
      <c r="CD24" s="10" t="str">
        <f t="shared" si="11"/>
        <v/>
      </c>
      <c r="CE24" s="10" t="str">
        <f t="shared" si="11"/>
        <v/>
      </c>
      <c r="CF24" s="10" t="str">
        <f t="shared" si="11"/>
        <v/>
      </c>
    </row>
    <row r="25" spans="1:84">
      <c r="A25" s="10" t="s">
        <v>52</v>
      </c>
      <c r="B25" s="10">
        <f t="shared" ref="B25:AG25" si="12">IF(B21&lt;=保险期间,IF(AND(B21=保险期间,产品类型="两全"),1,0),"")</f>
        <v>0</v>
      </c>
      <c r="C25" s="10">
        <f t="shared" si="12"/>
        <v>0</v>
      </c>
      <c r="D25" s="10">
        <f t="shared" si="12"/>
        <v>0</v>
      </c>
      <c r="E25" s="10">
        <f t="shared" si="12"/>
        <v>0</v>
      </c>
      <c r="F25" s="10">
        <f t="shared" si="12"/>
        <v>0</v>
      </c>
      <c r="G25" s="10">
        <f t="shared" si="12"/>
        <v>0</v>
      </c>
      <c r="H25" s="10">
        <f t="shared" si="12"/>
        <v>0</v>
      </c>
      <c r="I25" s="10">
        <f t="shared" si="12"/>
        <v>0</v>
      </c>
      <c r="J25" s="10">
        <f t="shared" si="12"/>
        <v>0</v>
      </c>
      <c r="K25" s="10">
        <f t="shared" si="12"/>
        <v>0</v>
      </c>
      <c r="L25" s="10" t="str">
        <f t="shared" si="12"/>
        <v/>
      </c>
      <c r="M25" s="10" t="str">
        <f t="shared" si="12"/>
        <v/>
      </c>
      <c r="N25" s="10" t="str">
        <f t="shared" si="12"/>
        <v/>
      </c>
      <c r="O25" s="10" t="str">
        <f t="shared" si="12"/>
        <v/>
      </c>
      <c r="P25" s="10" t="str">
        <f t="shared" si="12"/>
        <v/>
      </c>
      <c r="Q25" s="10" t="str">
        <f t="shared" si="12"/>
        <v/>
      </c>
      <c r="R25" s="10" t="str">
        <f t="shared" si="12"/>
        <v/>
      </c>
      <c r="S25" s="10" t="str">
        <f t="shared" si="12"/>
        <v/>
      </c>
      <c r="T25" s="10" t="str">
        <f t="shared" si="12"/>
        <v/>
      </c>
      <c r="U25" s="10" t="str">
        <f t="shared" si="12"/>
        <v/>
      </c>
      <c r="V25" s="10" t="str">
        <f t="shared" si="12"/>
        <v/>
      </c>
      <c r="W25" s="10" t="str">
        <f t="shared" si="12"/>
        <v/>
      </c>
      <c r="X25" s="10" t="str">
        <f t="shared" si="12"/>
        <v/>
      </c>
      <c r="Y25" s="10" t="str">
        <f t="shared" si="12"/>
        <v/>
      </c>
      <c r="Z25" s="10" t="str">
        <f t="shared" si="12"/>
        <v/>
      </c>
      <c r="AA25" s="10" t="str">
        <f t="shared" si="12"/>
        <v/>
      </c>
      <c r="AB25" s="10" t="str">
        <f t="shared" si="12"/>
        <v/>
      </c>
      <c r="AC25" s="10" t="str">
        <f t="shared" si="12"/>
        <v/>
      </c>
      <c r="AD25" s="10" t="str">
        <f t="shared" si="12"/>
        <v/>
      </c>
      <c r="AE25" s="10" t="str">
        <f t="shared" si="12"/>
        <v/>
      </c>
      <c r="AF25" s="10" t="str">
        <f t="shared" si="12"/>
        <v/>
      </c>
      <c r="AG25" s="10" t="str">
        <f t="shared" si="12"/>
        <v/>
      </c>
      <c r="AH25" s="10" t="str">
        <f t="shared" ref="AH25:BM25" si="13">IF(AH21&lt;=保险期间,IF(AND(AH21=保险期间,产品类型="两全"),1,0),"")</f>
        <v/>
      </c>
      <c r="AI25" s="10" t="str">
        <f t="shared" si="13"/>
        <v/>
      </c>
      <c r="AJ25" s="10" t="str">
        <f t="shared" si="13"/>
        <v/>
      </c>
      <c r="AK25" s="10" t="str">
        <f t="shared" si="13"/>
        <v/>
      </c>
      <c r="AL25" s="10" t="str">
        <f t="shared" si="13"/>
        <v/>
      </c>
      <c r="AM25" s="10" t="str">
        <f t="shared" si="13"/>
        <v/>
      </c>
      <c r="AN25" s="10" t="str">
        <f t="shared" si="13"/>
        <v/>
      </c>
      <c r="AO25" s="10" t="str">
        <f t="shared" si="13"/>
        <v/>
      </c>
      <c r="AP25" s="10" t="str">
        <f t="shared" si="13"/>
        <v/>
      </c>
      <c r="AQ25" s="10" t="str">
        <f t="shared" si="13"/>
        <v/>
      </c>
      <c r="AR25" s="10" t="str">
        <f t="shared" si="13"/>
        <v/>
      </c>
      <c r="AS25" s="10" t="str">
        <f t="shared" si="13"/>
        <v/>
      </c>
      <c r="AT25" s="10" t="str">
        <f t="shared" si="13"/>
        <v/>
      </c>
      <c r="AU25" s="10" t="str">
        <f t="shared" si="13"/>
        <v/>
      </c>
      <c r="AV25" s="10" t="str">
        <f t="shared" si="13"/>
        <v/>
      </c>
      <c r="AW25" s="10" t="str">
        <f t="shared" si="13"/>
        <v/>
      </c>
      <c r="AX25" s="10" t="str">
        <f t="shared" si="13"/>
        <v/>
      </c>
      <c r="AY25" s="10" t="str">
        <f t="shared" si="13"/>
        <v/>
      </c>
      <c r="AZ25" s="10" t="str">
        <f t="shared" si="13"/>
        <v/>
      </c>
      <c r="BA25" s="10" t="str">
        <f t="shared" si="13"/>
        <v/>
      </c>
      <c r="BB25" s="10" t="str">
        <f t="shared" si="13"/>
        <v/>
      </c>
      <c r="BC25" s="10" t="str">
        <f t="shared" si="13"/>
        <v/>
      </c>
      <c r="BD25" s="10" t="str">
        <f t="shared" si="13"/>
        <v/>
      </c>
      <c r="BE25" s="10" t="str">
        <f t="shared" si="13"/>
        <v/>
      </c>
      <c r="BF25" s="10" t="str">
        <f t="shared" si="13"/>
        <v/>
      </c>
      <c r="BG25" s="10" t="str">
        <f t="shared" si="13"/>
        <v/>
      </c>
      <c r="BH25" s="10" t="str">
        <f t="shared" si="13"/>
        <v/>
      </c>
      <c r="BI25" s="10" t="str">
        <f t="shared" si="13"/>
        <v/>
      </c>
      <c r="BJ25" s="10" t="str">
        <f t="shared" si="13"/>
        <v/>
      </c>
      <c r="BK25" s="10" t="str">
        <f t="shared" si="13"/>
        <v/>
      </c>
      <c r="BL25" s="10" t="str">
        <f t="shared" si="13"/>
        <v/>
      </c>
      <c r="BM25" s="10" t="str">
        <f t="shared" si="13"/>
        <v/>
      </c>
      <c r="BN25" s="10" t="str">
        <f t="shared" ref="BN25:CF25" si="14">IF(BN21&lt;=保险期间,IF(AND(BN21=保险期间,产品类型="两全"),1,0),"")</f>
        <v/>
      </c>
      <c r="BO25" s="10" t="str">
        <f t="shared" si="14"/>
        <v/>
      </c>
      <c r="BP25" s="10" t="str">
        <f t="shared" si="14"/>
        <v/>
      </c>
      <c r="BQ25" s="10" t="str">
        <f t="shared" si="14"/>
        <v/>
      </c>
      <c r="BR25" s="10" t="str">
        <f t="shared" si="14"/>
        <v/>
      </c>
      <c r="BS25" s="10" t="str">
        <f t="shared" si="14"/>
        <v/>
      </c>
      <c r="BT25" s="10" t="str">
        <f t="shared" si="14"/>
        <v/>
      </c>
      <c r="BU25" s="10" t="str">
        <f t="shared" si="14"/>
        <v/>
      </c>
      <c r="BV25" s="10" t="str">
        <f t="shared" si="14"/>
        <v/>
      </c>
      <c r="BW25" s="10" t="str">
        <f t="shared" si="14"/>
        <v/>
      </c>
      <c r="BX25" s="10" t="str">
        <f t="shared" si="14"/>
        <v/>
      </c>
      <c r="BY25" s="10" t="str">
        <f t="shared" si="14"/>
        <v/>
      </c>
      <c r="BZ25" s="10" t="str">
        <f t="shared" si="14"/>
        <v/>
      </c>
      <c r="CA25" s="10" t="str">
        <f t="shared" si="14"/>
        <v/>
      </c>
      <c r="CB25" s="10" t="str">
        <f t="shared" si="14"/>
        <v/>
      </c>
      <c r="CC25" s="10" t="str">
        <f t="shared" si="14"/>
        <v/>
      </c>
      <c r="CD25" s="10" t="str">
        <f t="shared" si="14"/>
        <v/>
      </c>
      <c r="CE25" s="10" t="str">
        <f t="shared" si="14"/>
        <v/>
      </c>
      <c r="CF25" s="10" t="str">
        <f t="shared" si="14"/>
        <v/>
      </c>
    </row>
    <row r="26" spans="1:84">
      <c r="A26" s="10" t="s">
        <v>58</v>
      </c>
      <c r="B26" s="10">
        <v>40.5</v>
      </c>
      <c r="C26" s="10">
        <v>6</v>
      </c>
      <c r="D26" s="10">
        <v>6</v>
      </c>
      <c r="E26" s="10">
        <v>6</v>
      </c>
      <c r="F26" s="10">
        <v>6</v>
      </c>
      <c r="G26" s="10">
        <v>6</v>
      </c>
      <c r="H26" s="10">
        <v>6</v>
      </c>
      <c r="I26" s="10">
        <v>6</v>
      </c>
      <c r="J26" s="10">
        <v>6</v>
      </c>
      <c r="K26" s="10">
        <v>6</v>
      </c>
      <c r="L26" s="10">
        <v>6</v>
      </c>
      <c r="M26" s="10">
        <v>6</v>
      </c>
      <c r="N26" s="10">
        <v>6</v>
      </c>
      <c r="O26" s="10">
        <v>6</v>
      </c>
      <c r="P26" s="10">
        <v>6</v>
      </c>
      <c r="Q26" s="10">
        <v>6</v>
      </c>
      <c r="R26" s="10">
        <v>6</v>
      </c>
      <c r="S26" s="10">
        <v>6</v>
      </c>
      <c r="T26" s="10">
        <v>6</v>
      </c>
      <c r="U26" s="10">
        <v>6</v>
      </c>
      <c r="V26" s="10">
        <v>6</v>
      </c>
      <c r="W26" s="10">
        <v>6</v>
      </c>
      <c r="X26" s="10">
        <v>6</v>
      </c>
      <c r="Y26" s="10">
        <v>6</v>
      </c>
      <c r="Z26" s="10">
        <v>6</v>
      </c>
      <c r="AA26" s="10">
        <v>6</v>
      </c>
      <c r="AB26" s="10">
        <v>6</v>
      </c>
      <c r="AC26" s="10">
        <v>6</v>
      </c>
      <c r="AD26" s="10">
        <v>6</v>
      </c>
      <c r="AE26" s="10">
        <v>6</v>
      </c>
      <c r="AF26" s="10">
        <v>6</v>
      </c>
      <c r="AG26" s="10">
        <v>6</v>
      </c>
      <c r="AH26" s="10">
        <v>6</v>
      </c>
      <c r="AI26" s="10">
        <v>6</v>
      </c>
      <c r="AJ26" s="10">
        <v>6</v>
      </c>
      <c r="AK26" s="10">
        <v>6</v>
      </c>
      <c r="AL26" s="10">
        <v>6</v>
      </c>
      <c r="AM26" s="10">
        <v>6</v>
      </c>
      <c r="AN26" s="10">
        <v>6</v>
      </c>
      <c r="AO26" s="10">
        <v>6</v>
      </c>
      <c r="AP26" s="10">
        <v>6</v>
      </c>
      <c r="AQ26" s="10">
        <v>6</v>
      </c>
      <c r="AR26" s="10">
        <v>6</v>
      </c>
      <c r="AS26" s="10">
        <v>6</v>
      </c>
      <c r="AT26" s="10">
        <v>6</v>
      </c>
      <c r="AU26" s="10">
        <v>6</v>
      </c>
      <c r="AV26" s="10">
        <v>6</v>
      </c>
      <c r="AW26" s="10">
        <v>6</v>
      </c>
      <c r="AX26" s="10">
        <v>6</v>
      </c>
      <c r="AY26" s="10">
        <v>6</v>
      </c>
      <c r="AZ26" s="10">
        <v>6</v>
      </c>
      <c r="BA26" s="10">
        <v>6</v>
      </c>
      <c r="BB26" s="10">
        <v>6</v>
      </c>
      <c r="BC26" s="10">
        <v>6</v>
      </c>
      <c r="BD26" s="10">
        <v>6</v>
      </c>
      <c r="BE26" s="10">
        <v>6</v>
      </c>
      <c r="BF26" s="10">
        <v>6</v>
      </c>
      <c r="BG26" s="10">
        <v>6</v>
      </c>
      <c r="BH26" s="10">
        <v>6</v>
      </c>
      <c r="BI26" s="10">
        <v>6</v>
      </c>
      <c r="BJ26" s="10">
        <v>6</v>
      </c>
      <c r="BK26" s="10">
        <v>6</v>
      </c>
      <c r="BL26" s="10">
        <v>6</v>
      </c>
      <c r="BM26" s="10">
        <v>6</v>
      </c>
      <c r="BN26" s="10">
        <v>6</v>
      </c>
      <c r="BO26" s="10">
        <v>6</v>
      </c>
      <c r="BP26" s="10">
        <v>6</v>
      </c>
      <c r="BQ26" s="10">
        <v>6</v>
      </c>
      <c r="BR26" s="10">
        <v>6</v>
      </c>
      <c r="BS26" s="10">
        <v>6</v>
      </c>
      <c r="BT26" s="10">
        <v>6</v>
      </c>
      <c r="BU26" s="10">
        <v>6</v>
      </c>
      <c r="BV26" s="10">
        <v>6</v>
      </c>
      <c r="BW26" s="10">
        <v>6</v>
      </c>
      <c r="BX26" s="10">
        <v>6</v>
      </c>
      <c r="BY26" s="10">
        <v>6</v>
      </c>
      <c r="BZ26" s="10">
        <v>6</v>
      </c>
      <c r="CA26" s="10">
        <v>6</v>
      </c>
      <c r="CB26" s="10">
        <v>6</v>
      </c>
      <c r="CC26" s="10">
        <v>6</v>
      </c>
      <c r="CD26" s="10">
        <v>6</v>
      </c>
      <c r="CE26" s="10">
        <v>6</v>
      </c>
      <c r="CF26" s="10">
        <v>6</v>
      </c>
    </row>
    <row r="27" spans="1:84">
      <c r="A27" s="10" t="s">
        <v>59</v>
      </c>
      <c r="B27" s="10">
        <v>5</v>
      </c>
      <c r="C27" s="10">
        <v>0.5</v>
      </c>
      <c r="D27" s="10">
        <v>0.5</v>
      </c>
      <c r="E27" s="10">
        <v>0.5</v>
      </c>
      <c r="F27" s="10">
        <v>0.5</v>
      </c>
      <c r="G27" s="10">
        <v>0.5</v>
      </c>
      <c r="H27" s="10">
        <v>0.5</v>
      </c>
      <c r="I27" s="10">
        <v>0.5</v>
      </c>
      <c r="J27" s="10">
        <v>0.5</v>
      </c>
      <c r="K27" s="10">
        <v>0.5</v>
      </c>
      <c r="L27" s="10">
        <v>0.5</v>
      </c>
      <c r="M27" s="10">
        <v>0.5</v>
      </c>
      <c r="N27" s="10">
        <v>0.5</v>
      </c>
      <c r="O27" s="10">
        <v>0.5</v>
      </c>
      <c r="P27" s="10">
        <v>0.5</v>
      </c>
      <c r="Q27" s="10">
        <v>0.5</v>
      </c>
      <c r="R27" s="10">
        <v>0.5</v>
      </c>
      <c r="S27" s="10">
        <v>0.5</v>
      </c>
      <c r="T27" s="10">
        <v>0.5</v>
      </c>
      <c r="U27" s="10">
        <v>0.5</v>
      </c>
      <c r="V27" s="10">
        <v>0.5</v>
      </c>
      <c r="W27" s="10">
        <v>0.5</v>
      </c>
      <c r="X27" s="10">
        <v>0.5</v>
      </c>
      <c r="Y27" s="10">
        <v>0.5</v>
      </c>
      <c r="Z27" s="10">
        <v>0.5</v>
      </c>
      <c r="AA27" s="10">
        <v>0.5</v>
      </c>
      <c r="AB27" s="10">
        <v>0.5</v>
      </c>
      <c r="AC27" s="10">
        <v>0.5</v>
      </c>
      <c r="AD27" s="10">
        <v>0.5</v>
      </c>
      <c r="AE27" s="10">
        <v>0.5</v>
      </c>
      <c r="AF27" s="10">
        <v>0.5</v>
      </c>
      <c r="AG27" s="10">
        <v>0.5</v>
      </c>
      <c r="AH27" s="10">
        <v>0.5</v>
      </c>
      <c r="AI27" s="10">
        <v>0.5</v>
      </c>
      <c r="AJ27" s="10">
        <v>0.5</v>
      </c>
      <c r="AK27" s="10">
        <v>0.5</v>
      </c>
      <c r="AL27" s="10">
        <v>0.5</v>
      </c>
      <c r="AM27" s="10">
        <v>0.5</v>
      </c>
      <c r="AN27" s="10">
        <v>0.5</v>
      </c>
      <c r="AO27" s="10">
        <v>0.5</v>
      </c>
      <c r="AP27" s="10">
        <v>0.5</v>
      </c>
      <c r="AQ27" s="10">
        <v>0.5</v>
      </c>
      <c r="AR27" s="10">
        <v>0.5</v>
      </c>
      <c r="AS27" s="10">
        <v>0.5</v>
      </c>
      <c r="AT27" s="10">
        <v>0.5</v>
      </c>
      <c r="AU27" s="10">
        <v>0.5</v>
      </c>
      <c r="AV27" s="10">
        <v>0.5</v>
      </c>
      <c r="AW27" s="10">
        <v>0.5</v>
      </c>
      <c r="AX27" s="10">
        <v>0.5</v>
      </c>
      <c r="AY27" s="10">
        <v>0.5</v>
      </c>
      <c r="AZ27" s="10">
        <v>0.5</v>
      </c>
      <c r="BA27" s="10">
        <v>0.5</v>
      </c>
      <c r="BB27" s="10">
        <v>0.5</v>
      </c>
      <c r="BC27" s="10">
        <v>0.5</v>
      </c>
      <c r="BD27" s="10">
        <v>0.5</v>
      </c>
      <c r="BE27" s="10">
        <v>0.5</v>
      </c>
      <c r="BF27" s="10">
        <v>0.5</v>
      </c>
      <c r="BG27" s="10">
        <v>0.5</v>
      </c>
      <c r="BH27" s="10">
        <v>0.5</v>
      </c>
      <c r="BI27" s="10">
        <v>0.5</v>
      </c>
      <c r="BJ27" s="10">
        <v>0.5</v>
      </c>
      <c r="BK27" s="10">
        <v>0.5</v>
      </c>
      <c r="BL27" s="10">
        <v>0.5</v>
      </c>
      <c r="BM27" s="10">
        <v>0.5</v>
      </c>
      <c r="BN27" s="10">
        <v>0.5</v>
      </c>
      <c r="BO27" s="10">
        <v>0.5</v>
      </c>
      <c r="BP27" s="10">
        <v>0.5</v>
      </c>
      <c r="BQ27" s="10">
        <v>0.5</v>
      </c>
      <c r="BR27" s="10">
        <v>0.5</v>
      </c>
      <c r="BS27" s="10">
        <v>0.5</v>
      </c>
      <c r="BT27" s="10">
        <v>0.5</v>
      </c>
      <c r="BU27" s="10">
        <v>0.5</v>
      </c>
      <c r="BV27" s="10">
        <v>0.5</v>
      </c>
      <c r="BW27" s="10">
        <v>0.5</v>
      </c>
      <c r="BX27" s="10">
        <v>0.5</v>
      </c>
      <c r="BY27" s="10">
        <v>0.5</v>
      </c>
      <c r="BZ27" s="10">
        <v>0.5</v>
      </c>
      <c r="CA27" s="10">
        <v>0.5</v>
      </c>
      <c r="CB27" s="10">
        <v>0.5</v>
      </c>
      <c r="CC27" s="10">
        <v>0.5</v>
      </c>
      <c r="CD27" s="10">
        <v>0.5</v>
      </c>
      <c r="CE27" s="10">
        <v>0.5</v>
      </c>
      <c r="CF27" s="10">
        <v>0.5</v>
      </c>
    </row>
    <row r="28" spans="1:84">
      <c r="A28" s="10" t="s">
        <v>60</v>
      </c>
      <c r="B28" s="27">
        <v>0.15</v>
      </c>
      <c r="C28" s="27">
        <v>0.05</v>
      </c>
      <c r="D28" s="27">
        <v>0.05</v>
      </c>
      <c r="E28" s="27">
        <v>0.05</v>
      </c>
      <c r="F28" s="27">
        <v>0.05</v>
      </c>
      <c r="G28" s="27">
        <v>0.05</v>
      </c>
      <c r="H28" s="27">
        <v>0.05</v>
      </c>
      <c r="I28" s="27">
        <v>0.05</v>
      </c>
      <c r="J28" s="27">
        <v>0.05</v>
      </c>
      <c r="K28" s="18">
        <v>0.02</v>
      </c>
      <c r="L28" s="18">
        <v>0.02</v>
      </c>
      <c r="M28" s="18">
        <v>0.02</v>
      </c>
      <c r="N28" s="18">
        <v>0.02</v>
      </c>
      <c r="O28" s="18">
        <v>0.02</v>
      </c>
      <c r="P28" s="18">
        <v>0.02</v>
      </c>
      <c r="Q28" s="18">
        <v>0.02</v>
      </c>
      <c r="R28" s="18">
        <v>0.02</v>
      </c>
      <c r="S28" s="18">
        <v>0.02</v>
      </c>
      <c r="T28" s="18">
        <v>0.02</v>
      </c>
      <c r="U28" s="18">
        <v>0.02</v>
      </c>
      <c r="V28" s="18">
        <v>0.02</v>
      </c>
      <c r="W28" s="18">
        <v>0.02</v>
      </c>
      <c r="X28" s="18">
        <v>0.02</v>
      </c>
      <c r="Y28" s="18">
        <v>0.02</v>
      </c>
      <c r="Z28" s="18">
        <v>0.02</v>
      </c>
      <c r="AA28" s="18">
        <v>0.02</v>
      </c>
      <c r="AB28" s="18">
        <v>0.02</v>
      </c>
      <c r="AC28" s="18">
        <v>0.02</v>
      </c>
      <c r="AD28" s="18">
        <v>0.02</v>
      </c>
      <c r="AE28" s="18">
        <v>0.02</v>
      </c>
      <c r="AF28" s="18">
        <v>0.02</v>
      </c>
      <c r="AG28" s="18">
        <v>0.02</v>
      </c>
      <c r="AH28" s="18">
        <v>0.02</v>
      </c>
      <c r="AI28" s="18">
        <v>0.02</v>
      </c>
      <c r="AJ28" s="18">
        <v>0.02</v>
      </c>
      <c r="AK28" s="18">
        <v>0.02</v>
      </c>
      <c r="AL28" s="18">
        <v>0.02</v>
      </c>
      <c r="AM28" s="18">
        <v>0.02</v>
      </c>
      <c r="AN28" s="18">
        <v>0.02</v>
      </c>
      <c r="AO28" s="18">
        <v>0.02</v>
      </c>
      <c r="AP28" s="18">
        <v>0.02</v>
      </c>
      <c r="AQ28" s="18">
        <v>0.02</v>
      </c>
      <c r="AR28" s="18">
        <v>0.02</v>
      </c>
      <c r="AS28" s="18">
        <v>0.02</v>
      </c>
      <c r="AT28" s="18">
        <v>0.02</v>
      </c>
      <c r="AU28" s="18">
        <v>0.02</v>
      </c>
      <c r="AV28" s="18">
        <v>0.02</v>
      </c>
      <c r="AW28" s="18">
        <v>0.02</v>
      </c>
      <c r="AX28" s="18">
        <v>0.02</v>
      </c>
      <c r="AY28" s="18">
        <v>0.02</v>
      </c>
      <c r="AZ28" s="18">
        <v>0.02</v>
      </c>
      <c r="BA28" s="18">
        <v>0.02</v>
      </c>
      <c r="BB28" s="18">
        <v>0.02</v>
      </c>
      <c r="BC28" s="18">
        <v>0.02</v>
      </c>
      <c r="BD28" s="18">
        <v>0.02</v>
      </c>
      <c r="BE28" s="18">
        <v>0.02</v>
      </c>
      <c r="BF28" s="18">
        <v>0.02</v>
      </c>
      <c r="BG28" s="18">
        <v>0.02</v>
      </c>
      <c r="BH28" s="18">
        <v>0.02</v>
      </c>
      <c r="BI28" s="18">
        <v>0.02</v>
      </c>
      <c r="BJ28" s="18">
        <v>0.02</v>
      </c>
      <c r="BK28" s="18">
        <v>0.02</v>
      </c>
      <c r="BL28" s="18">
        <v>0.02</v>
      </c>
      <c r="BM28" s="18">
        <v>0.02</v>
      </c>
      <c r="BN28" s="18">
        <v>0.02</v>
      </c>
      <c r="BO28" s="18">
        <v>0.02</v>
      </c>
      <c r="BP28" s="18">
        <v>0.02</v>
      </c>
      <c r="BQ28" s="18">
        <v>0.02</v>
      </c>
      <c r="BR28" s="18">
        <v>0.02</v>
      </c>
      <c r="BS28" s="18">
        <v>0.02</v>
      </c>
      <c r="BT28" s="18">
        <v>0.02</v>
      </c>
      <c r="BU28" s="18">
        <v>0.02</v>
      </c>
      <c r="BV28" s="18">
        <v>0.02</v>
      </c>
      <c r="BW28" s="18">
        <v>0.02</v>
      </c>
      <c r="BX28" s="18">
        <v>0.02</v>
      </c>
      <c r="BY28" s="18">
        <v>0.02</v>
      </c>
      <c r="BZ28" s="18">
        <v>0.02</v>
      </c>
      <c r="CA28" s="18">
        <v>0.02</v>
      </c>
      <c r="CB28" s="18">
        <v>0.02</v>
      </c>
      <c r="CC28" s="18">
        <v>0.02</v>
      </c>
      <c r="CD28" s="18">
        <v>0.02</v>
      </c>
      <c r="CE28" s="18">
        <v>0.02</v>
      </c>
      <c r="CF28" s="18">
        <v>0.02</v>
      </c>
    </row>
    <row r="30" spans="1:84">
      <c r="B30" s="10">
        <f>B21</f>
        <v>1</v>
      </c>
      <c r="C30" s="10">
        <f>C21</f>
        <v>2</v>
      </c>
      <c r="D30" s="10">
        <f t="shared" ref="D30:BO30" si="15">D21</f>
        <v>3</v>
      </c>
      <c r="E30" s="10">
        <f t="shared" si="15"/>
        <v>4</v>
      </c>
      <c r="F30" s="10">
        <f t="shared" si="15"/>
        <v>5</v>
      </c>
      <c r="G30" s="10">
        <f t="shared" si="15"/>
        <v>6</v>
      </c>
      <c r="H30" s="10">
        <f t="shared" si="15"/>
        <v>7</v>
      </c>
      <c r="I30" s="10">
        <f t="shared" si="15"/>
        <v>8</v>
      </c>
      <c r="J30" s="10">
        <f t="shared" si="15"/>
        <v>9</v>
      </c>
      <c r="K30" s="10">
        <f t="shared" si="15"/>
        <v>10</v>
      </c>
      <c r="L30" s="10" t="str">
        <f t="shared" si="15"/>
        <v/>
      </c>
      <c r="M30" s="10" t="str">
        <f t="shared" si="15"/>
        <v/>
      </c>
      <c r="N30" s="10" t="str">
        <f t="shared" si="15"/>
        <v/>
      </c>
      <c r="O30" s="10" t="str">
        <f t="shared" si="15"/>
        <v/>
      </c>
      <c r="P30" s="10" t="str">
        <f t="shared" si="15"/>
        <v/>
      </c>
      <c r="Q30" s="10" t="str">
        <f t="shared" si="15"/>
        <v/>
      </c>
      <c r="R30" s="10" t="str">
        <f t="shared" si="15"/>
        <v/>
      </c>
      <c r="S30" s="10" t="str">
        <f t="shared" si="15"/>
        <v/>
      </c>
      <c r="T30" s="10" t="str">
        <f t="shared" si="15"/>
        <v/>
      </c>
      <c r="U30" s="10" t="str">
        <f t="shared" si="15"/>
        <v/>
      </c>
      <c r="V30" s="10" t="str">
        <f t="shared" si="15"/>
        <v/>
      </c>
      <c r="W30" s="10" t="str">
        <f t="shared" si="15"/>
        <v/>
      </c>
      <c r="X30" s="10" t="str">
        <f t="shared" si="15"/>
        <v/>
      </c>
      <c r="Y30" s="10" t="str">
        <f t="shared" si="15"/>
        <v/>
      </c>
      <c r="Z30" s="10" t="str">
        <f t="shared" si="15"/>
        <v/>
      </c>
      <c r="AA30" s="10" t="str">
        <f t="shared" si="15"/>
        <v/>
      </c>
      <c r="AB30" s="10" t="str">
        <f t="shared" si="15"/>
        <v/>
      </c>
      <c r="AC30" s="10" t="str">
        <f t="shared" si="15"/>
        <v/>
      </c>
      <c r="AD30" s="10" t="str">
        <f t="shared" si="15"/>
        <v/>
      </c>
      <c r="AE30" s="10" t="str">
        <f t="shared" si="15"/>
        <v/>
      </c>
      <c r="AF30" s="10" t="str">
        <f t="shared" si="15"/>
        <v/>
      </c>
      <c r="AG30" s="10" t="str">
        <f t="shared" si="15"/>
        <v/>
      </c>
      <c r="AH30" s="10" t="str">
        <f t="shared" si="15"/>
        <v/>
      </c>
      <c r="AI30" s="10" t="str">
        <f t="shared" si="15"/>
        <v/>
      </c>
      <c r="AJ30" s="10" t="str">
        <f t="shared" si="15"/>
        <v/>
      </c>
      <c r="AK30" s="10" t="str">
        <f t="shared" si="15"/>
        <v/>
      </c>
      <c r="AL30" s="10" t="str">
        <f t="shared" si="15"/>
        <v/>
      </c>
      <c r="AM30" s="10" t="str">
        <f t="shared" si="15"/>
        <v/>
      </c>
      <c r="AN30" s="10" t="str">
        <f t="shared" si="15"/>
        <v/>
      </c>
      <c r="AO30" s="10" t="str">
        <f t="shared" si="15"/>
        <v/>
      </c>
      <c r="AP30" s="10" t="str">
        <f t="shared" si="15"/>
        <v/>
      </c>
      <c r="AQ30" s="10" t="str">
        <f t="shared" si="15"/>
        <v/>
      </c>
      <c r="AR30" s="10" t="str">
        <f t="shared" si="15"/>
        <v/>
      </c>
      <c r="AS30" s="10" t="str">
        <f t="shared" si="15"/>
        <v/>
      </c>
      <c r="AT30" s="10" t="str">
        <f t="shared" si="15"/>
        <v/>
      </c>
      <c r="AU30" s="10" t="str">
        <f t="shared" si="15"/>
        <v/>
      </c>
      <c r="AV30" s="10" t="str">
        <f t="shared" si="15"/>
        <v/>
      </c>
      <c r="AW30" s="10" t="str">
        <f t="shared" si="15"/>
        <v/>
      </c>
      <c r="AX30" s="10" t="str">
        <f t="shared" si="15"/>
        <v/>
      </c>
      <c r="AY30" s="10" t="str">
        <f t="shared" si="15"/>
        <v/>
      </c>
      <c r="AZ30" s="10" t="str">
        <f t="shared" si="15"/>
        <v/>
      </c>
      <c r="BA30" s="10" t="str">
        <f t="shared" si="15"/>
        <v/>
      </c>
      <c r="BB30" s="10" t="str">
        <f t="shared" si="15"/>
        <v/>
      </c>
      <c r="BC30" s="10" t="str">
        <f t="shared" si="15"/>
        <v/>
      </c>
      <c r="BD30" s="10" t="str">
        <f t="shared" si="15"/>
        <v/>
      </c>
      <c r="BE30" s="10" t="str">
        <f t="shared" si="15"/>
        <v/>
      </c>
      <c r="BF30" s="10" t="str">
        <f t="shared" si="15"/>
        <v/>
      </c>
      <c r="BG30" s="10" t="str">
        <f t="shared" si="15"/>
        <v/>
      </c>
      <c r="BH30" s="10" t="str">
        <f t="shared" si="15"/>
        <v/>
      </c>
      <c r="BI30" s="10" t="str">
        <f t="shared" si="15"/>
        <v/>
      </c>
      <c r="BJ30" s="10" t="str">
        <f t="shared" si="15"/>
        <v/>
      </c>
      <c r="BK30" s="10" t="str">
        <f t="shared" si="15"/>
        <v/>
      </c>
      <c r="BL30" s="10" t="str">
        <f t="shared" si="15"/>
        <v/>
      </c>
      <c r="BM30" s="10" t="str">
        <f t="shared" si="15"/>
        <v/>
      </c>
      <c r="BN30" s="10" t="str">
        <f t="shared" si="15"/>
        <v/>
      </c>
      <c r="BO30" s="10" t="str">
        <f t="shared" si="15"/>
        <v/>
      </c>
      <c r="BP30" s="10" t="str">
        <f t="shared" ref="BP30:CF30" si="16">BP21</f>
        <v/>
      </c>
      <c r="BQ30" s="10" t="str">
        <f t="shared" si="16"/>
        <v/>
      </c>
      <c r="BR30" s="10" t="str">
        <f t="shared" si="16"/>
        <v/>
      </c>
      <c r="BS30" s="10" t="str">
        <f t="shared" si="16"/>
        <v/>
      </c>
      <c r="BT30" s="10" t="str">
        <f t="shared" si="16"/>
        <v/>
      </c>
      <c r="BU30" s="10" t="str">
        <f t="shared" si="16"/>
        <v/>
      </c>
      <c r="BV30" s="10" t="str">
        <f t="shared" si="16"/>
        <v/>
      </c>
      <c r="BW30" s="10" t="str">
        <f t="shared" si="16"/>
        <v/>
      </c>
      <c r="BX30" s="10" t="str">
        <f t="shared" si="16"/>
        <v/>
      </c>
      <c r="BY30" s="10" t="str">
        <f t="shared" si="16"/>
        <v/>
      </c>
      <c r="BZ30" s="10" t="str">
        <f t="shared" si="16"/>
        <v/>
      </c>
      <c r="CA30" s="10" t="str">
        <f t="shared" si="16"/>
        <v/>
      </c>
      <c r="CB30" s="10" t="str">
        <f t="shared" si="16"/>
        <v/>
      </c>
      <c r="CC30" s="10" t="str">
        <f t="shared" si="16"/>
        <v/>
      </c>
      <c r="CD30" s="10" t="str">
        <f t="shared" si="16"/>
        <v/>
      </c>
      <c r="CE30" s="10" t="str">
        <f t="shared" si="16"/>
        <v/>
      </c>
      <c r="CF30" s="10" t="str">
        <f t="shared" si="16"/>
        <v/>
      </c>
    </row>
    <row r="31" spans="1:84">
      <c r="A31" s="10" t="s">
        <v>24</v>
      </c>
      <c r="B31" s="28">
        <v>0</v>
      </c>
      <c r="C31" s="28">
        <f t="shared" ref="C31:AH31" si="17">IF(B21&lt;保险期间,B43,"")</f>
        <v>-196955.44835612827</v>
      </c>
      <c r="D31" s="28">
        <f t="shared" si="17"/>
        <v>38205.711621459719</v>
      </c>
      <c r="E31" s="28">
        <f t="shared" si="17"/>
        <v>276962.16217864945</v>
      </c>
      <c r="F31" s="28">
        <f t="shared" si="17"/>
        <v>517948.11696220248</v>
      </c>
      <c r="G31" s="28">
        <f t="shared" si="17"/>
        <v>759880.86747844564</v>
      </c>
      <c r="H31" s="28">
        <f t="shared" si="17"/>
        <v>641729.54274193582</v>
      </c>
      <c r="I31" s="28">
        <f t="shared" si="17"/>
        <v>507842.67183489096</v>
      </c>
      <c r="J31" s="28">
        <f t="shared" si="17"/>
        <v>357079.90818509331</v>
      </c>
      <c r="K31" s="28">
        <f t="shared" si="17"/>
        <v>188250.24419325122</v>
      </c>
      <c r="L31" s="28" t="str">
        <f t="shared" si="17"/>
        <v/>
      </c>
      <c r="M31" s="28" t="str">
        <f t="shared" si="17"/>
        <v/>
      </c>
      <c r="N31" s="28" t="str">
        <f t="shared" si="17"/>
        <v/>
      </c>
      <c r="O31" s="28" t="str">
        <f t="shared" si="17"/>
        <v/>
      </c>
      <c r="P31" s="28" t="str">
        <f t="shared" si="17"/>
        <v/>
      </c>
      <c r="Q31" s="28" t="str">
        <f t="shared" si="17"/>
        <v/>
      </c>
      <c r="R31" s="28" t="str">
        <f t="shared" si="17"/>
        <v/>
      </c>
      <c r="S31" s="28" t="str">
        <f t="shared" si="17"/>
        <v/>
      </c>
      <c r="T31" s="28" t="str">
        <f t="shared" si="17"/>
        <v/>
      </c>
      <c r="U31" s="28" t="str">
        <f t="shared" si="17"/>
        <v/>
      </c>
      <c r="V31" s="28" t="str">
        <f t="shared" si="17"/>
        <v/>
      </c>
      <c r="W31" s="28" t="str">
        <f t="shared" si="17"/>
        <v/>
      </c>
      <c r="X31" s="28" t="str">
        <f t="shared" si="17"/>
        <v/>
      </c>
      <c r="Y31" s="28" t="str">
        <f t="shared" si="17"/>
        <v/>
      </c>
      <c r="Z31" s="28" t="str">
        <f t="shared" si="17"/>
        <v/>
      </c>
      <c r="AA31" s="28" t="str">
        <f t="shared" si="17"/>
        <v/>
      </c>
      <c r="AB31" s="28" t="str">
        <f t="shared" si="17"/>
        <v/>
      </c>
      <c r="AC31" s="28" t="str">
        <f t="shared" si="17"/>
        <v/>
      </c>
      <c r="AD31" s="28" t="str">
        <f t="shared" si="17"/>
        <v/>
      </c>
      <c r="AE31" s="28" t="str">
        <f t="shared" si="17"/>
        <v/>
      </c>
      <c r="AF31" s="28" t="str">
        <f t="shared" si="17"/>
        <v/>
      </c>
      <c r="AG31" s="28" t="str">
        <f t="shared" si="17"/>
        <v/>
      </c>
      <c r="AH31" s="28" t="str">
        <f t="shared" si="17"/>
        <v/>
      </c>
      <c r="AI31" s="28" t="str">
        <f t="shared" ref="AI31:BN31" si="18">IF(AH21&lt;保险期间,AH43,"")</f>
        <v/>
      </c>
      <c r="AJ31" s="28" t="str">
        <f t="shared" si="18"/>
        <v/>
      </c>
      <c r="AK31" s="28" t="str">
        <f t="shared" si="18"/>
        <v/>
      </c>
      <c r="AL31" s="28" t="str">
        <f t="shared" si="18"/>
        <v/>
      </c>
      <c r="AM31" s="28" t="str">
        <f t="shared" si="18"/>
        <v/>
      </c>
      <c r="AN31" s="28" t="str">
        <f t="shared" si="18"/>
        <v/>
      </c>
      <c r="AO31" s="28" t="str">
        <f t="shared" si="18"/>
        <v/>
      </c>
      <c r="AP31" s="28" t="str">
        <f t="shared" si="18"/>
        <v/>
      </c>
      <c r="AQ31" s="28" t="str">
        <f t="shared" si="18"/>
        <v/>
      </c>
      <c r="AR31" s="28" t="str">
        <f t="shared" si="18"/>
        <v/>
      </c>
      <c r="AS31" s="28" t="str">
        <f t="shared" si="18"/>
        <v/>
      </c>
      <c r="AT31" s="28" t="str">
        <f t="shared" si="18"/>
        <v/>
      </c>
      <c r="AU31" s="28" t="str">
        <f t="shared" si="18"/>
        <v/>
      </c>
      <c r="AV31" s="28" t="str">
        <f t="shared" si="18"/>
        <v/>
      </c>
      <c r="AW31" s="28" t="str">
        <f t="shared" si="18"/>
        <v/>
      </c>
      <c r="AX31" s="28" t="str">
        <f t="shared" si="18"/>
        <v/>
      </c>
      <c r="AY31" s="28" t="str">
        <f t="shared" si="18"/>
        <v/>
      </c>
      <c r="AZ31" s="28" t="str">
        <f t="shared" si="18"/>
        <v/>
      </c>
      <c r="BA31" s="28" t="str">
        <f t="shared" si="18"/>
        <v/>
      </c>
      <c r="BB31" s="28" t="str">
        <f t="shared" si="18"/>
        <v/>
      </c>
      <c r="BC31" s="28" t="str">
        <f t="shared" si="18"/>
        <v/>
      </c>
      <c r="BD31" s="28" t="str">
        <f t="shared" si="18"/>
        <v/>
      </c>
      <c r="BE31" s="28" t="str">
        <f t="shared" si="18"/>
        <v/>
      </c>
      <c r="BF31" s="28" t="str">
        <f t="shared" si="18"/>
        <v/>
      </c>
      <c r="BG31" s="28" t="str">
        <f t="shared" si="18"/>
        <v/>
      </c>
      <c r="BH31" s="28" t="str">
        <f t="shared" si="18"/>
        <v/>
      </c>
      <c r="BI31" s="28" t="str">
        <f t="shared" si="18"/>
        <v/>
      </c>
      <c r="BJ31" s="28" t="str">
        <f t="shared" si="18"/>
        <v/>
      </c>
      <c r="BK31" s="28" t="str">
        <f t="shared" si="18"/>
        <v/>
      </c>
      <c r="BL31" s="28" t="str">
        <f t="shared" si="18"/>
        <v/>
      </c>
      <c r="BM31" s="28" t="str">
        <f t="shared" si="18"/>
        <v/>
      </c>
      <c r="BN31" s="28" t="str">
        <f t="shared" si="18"/>
        <v/>
      </c>
      <c r="BO31" s="28" t="str">
        <f t="shared" ref="BO31:CF31" si="19">IF(BN21&lt;保险期间,BN43,"")</f>
        <v/>
      </c>
      <c r="BP31" s="28" t="str">
        <f t="shared" si="19"/>
        <v/>
      </c>
      <c r="BQ31" s="28" t="str">
        <f t="shared" si="19"/>
        <v/>
      </c>
      <c r="BR31" s="28" t="str">
        <f t="shared" si="19"/>
        <v/>
      </c>
      <c r="BS31" s="28" t="str">
        <f t="shared" si="19"/>
        <v/>
      </c>
      <c r="BT31" s="28" t="str">
        <f t="shared" si="19"/>
        <v/>
      </c>
      <c r="BU31" s="28" t="str">
        <f t="shared" si="19"/>
        <v/>
      </c>
      <c r="BV31" s="28" t="str">
        <f t="shared" si="19"/>
        <v/>
      </c>
      <c r="BW31" s="28" t="str">
        <f t="shared" si="19"/>
        <v/>
      </c>
      <c r="BX31" s="28" t="str">
        <f t="shared" si="19"/>
        <v/>
      </c>
      <c r="BY31" s="28" t="str">
        <f t="shared" si="19"/>
        <v/>
      </c>
      <c r="BZ31" s="28" t="str">
        <f t="shared" si="19"/>
        <v/>
      </c>
      <c r="CA31" s="28" t="str">
        <f t="shared" si="19"/>
        <v/>
      </c>
      <c r="CB31" s="28" t="str">
        <f t="shared" si="19"/>
        <v/>
      </c>
      <c r="CC31" s="28" t="str">
        <f t="shared" si="19"/>
        <v/>
      </c>
      <c r="CD31" s="28" t="str">
        <f t="shared" si="19"/>
        <v/>
      </c>
      <c r="CE31" s="28" t="str">
        <f t="shared" si="19"/>
        <v/>
      </c>
      <c r="CF31" s="28" t="str">
        <f t="shared" si="19"/>
        <v/>
      </c>
    </row>
    <row r="32" spans="1:84">
      <c r="A32" s="10" t="s">
        <v>25</v>
      </c>
      <c r="B32" s="28">
        <f>期初保单数</f>
        <v>10000</v>
      </c>
      <c r="C32" s="28">
        <f t="shared" ref="C32:AH32" si="20">IF(B21&lt;保险期间,B40,"")</f>
        <v>9947.9699999999993</v>
      </c>
      <c r="D32" s="28">
        <f t="shared" si="20"/>
        <v>9890.8288603199999</v>
      </c>
      <c r="E32" s="28">
        <f t="shared" si="20"/>
        <v>9827.2605032347237</v>
      </c>
      <c r="F32" s="28">
        <f t="shared" si="20"/>
        <v>9755.9145919812399</v>
      </c>
      <c r="G32" s="28">
        <f t="shared" si="20"/>
        <v>9675.6331708038269</v>
      </c>
      <c r="H32" s="28">
        <f t="shared" si="20"/>
        <v>9585.523999084131</v>
      </c>
      <c r="I32" s="28">
        <f t="shared" si="20"/>
        <v>9484.9718523337378</v>
      </c>
      <c r="J32" s="28">
        <f t="shared" si="20"/>
        <v>9373.551887984373</v>
      </c>
      <c r="K32" s="28">
        <f t="shared" si="20"/>
        <v>9250.8427202187704</v>
      </c>
      <c r="L32" s="28" t="str">
        <f t="shared" si="20"/>
        <v/>
      </c>
      <c r="M32" s="28" t="str">
        <f t="shared" si="20"/>
        <v/>
      </c>
      <c r="N32" s="28" t="str">
        <f t="shared" si="20"/>
        <v/>
      </c>
      <c r="O32" s="28" t="str">
        <f t="shared" si="20"/>
        <v/>
      </c>
      <c r="P32" s="28" t="str">
        <f t="shared" si="20"/>
        <v/>
      </c>
      <c r="Q32" s="28" t="str">
        <f t="shared" si="20"/>
        <v/>
      </c>
      <c r="R32" s="28" t="str">
        <f t="shared" si="20"/>
        <v/>
      </c>
      <c r="S32" s="28" t="str">
        <f t="shared" si="20"/>
        <v/>
      </c>
      <c r="T32" s="28" t="str">
        <f t="shared" si="20"/>
        <v/>
      </c>
      <c r="U32" s="28" t="str">
        <f t="shared" si="20"/>
        <v/>
      </c>
      <c r="V32" s="28" t="str">
        <f t="shared" si="20"/>
        <v/>
      </c>
      <c r="W32" s="28" t="str">
        <f t="shared" si="20"/>
        <v/>
      </c>
      <c r="X32" s="28" t="str">
        <f t="shared" si="20"/>
        <v/>
      </c>
      <c r="Y32" s="28" t="str">
        <f t="shared" si="20"/>
        <v/>
      </c>
      <c r="Z32" s="28" t="str">
        <f t="shared" si="20"/>
        <v/>
      </c>
      <c r="AA32" s="28" t="str">
        <f t="shared" si="20"/>
        <v/>
      </c>
      <c r="AB32" s="28" t="str">
        <f t="shared" si="20"/>
        <v/>
      </c>
      <c r="AC32" s="28" t="str">
        <f t="shared" si="20"/>
        <v/>
      </c>
      <c r="AD32" s="28" t="str">
        <f t="shared" si="20"/>
        <v/>
      </c>
      <c r="AE32" s="28" t="str">
        <f t="shared" si="20"/>
        <v/>
      </c>
      <c r="AF32" s="28" t="str">
        <f t="shared" si="20"/>
        <v/>
      </c>
      <c r="AG32" s="28" t="str">
        <f t="shared" si="20"/>
        <v/>
      </c>
      <c r="AH32" s="28" t="str">
        <f t="shared" si="20"/>
        <v/>
      </c>
      <c r="AI32" s="28" t="str">
        <f t="shared" ref="AI32:BN32" si="21">IF(AH21&lt;保险期间,AH40,"")</f>
        <v/>
      </c>
      <c r="AJ32" s="28" t="str">
        <f t="shared" si="21"/>
        <v/>
      </c>
      <c r="AK32" s="28" t="str">
        <f t="shared" si="21"/>
        <v/>
      </c>
      <c r="AL32" s="28" t="str">
        <f t="shared" si="21"/>
        <v/>
      </c>
      <c r="AM32" s="28" t="str">
        <f t="shared" si="21"/>
        <v/>
      </c>
      <c r="AN32" s="28" t="str">
        <f t="shared" si="21"/>
        <v/>
      </c>
      <c r="AO32" s="28" t="str">
        <f t="shared" si="21"/>
        <v/>
      </c>
      <c r="AP32" s="28" t="str">
        <f t="shared" si="21"/>
        <v/>
      </c>
      <c r="AQ32" s="28" t="str">
        <f t="shared" si="21"/>
        <v/>
      </c>
      <c r="AR32" s="28" t="str">
        <f t="shared" si="21"/>
        <v/>
      </c>
      <c r="AS32" s="28" t="str">
        <f t="shared" si="21"/>
        <v/>
      </c>
      <c r="AT32" s="28" t="str">
        <f t="shared" si="21"/>
        <v/>
      </c>
      <c r="AU32" s="28" t="str">
        <f t="shared" si="21"/>
        <v/>
      </c>
      <c r="AV32" s="28" t="str">
        <f t="shared" si="21"/>
        <v/>
      </c>
      <c r="AW32" s="28" t="str">
        <f t="shared" si="21"/>
        <v/>
      </c>
      <c r="AX32" s="28" t="str">
        <f t="shared" si="21"/>
        <v/>
      </c>
      <c r="AY32" s="28" t="str">
        <f t="shared" si="21"/>
        <v/>
      </c>
      <c r="AZ32" s="28" t="str">
        <f t="shared" si="21"/>
        <v/>
      </c>
      <c r="BA32" s="28" t="str">
        <f t="shared" si="21"/>
        <v/>
      </c>
      <c r="BB32" s="28" t="str">
        <f t="shared" si="21"/>
        <v/>
      </c>
      <c r="BC32" s="28" t="str">
        <f t="shared" si="21"/>
        <v/>
      </c>
      <c r="BD32" s="28" t="str">
        <f t="shared" si="21"/>
        <v/>
      </c>
      <c r="BE32" s="28" t="str">
        <f t="shared" si="21"/>
        <v/>
      </c>
      <c r="BF32" s="28" t="str">
        <f t="shared" si="21"/>
        <v/>
      </c>
      <c r="BG32" s="28" t="str">
        <f t="shared" si="21"/>
        <v/>
      </c>
      <c r="BH32" s="28" t="str">
        <f t="shared" si="21"/>
        <v/>
      </c>
      <c r="BI32" s="28" t="str">
        <f t="shared" si="21"/>
        <v/>
      </c>
      <c r="BJ32" s="28" t="str">
        <f t="shared" si="21"/>
        <v/>
      </c>
      <c r="BK32" s="28" t="str">
        <f t="shared" si="21"/>
        <v/>
      </c>
      <c r="BL32" s="28" t="str">
        <f t="shared" si="21"/>
        <v/>
      </c>
      <c r="BM32" s="28" t="str">
        <f t="shared" si="21"/>
        <v/>
      </c>
      <c r="BN32" s="28" t="str">
        <f t="shared" si="21"/>
        <v/>
      </c>
      <c r="BO32" s="28" t="str">
        <f t="shared" ref="BO32:CF32" si="22">IF(BN21&lt;保险期间,BN40,"")</f>
        <v/>
      </c>
      <c r="BP32" s="28" t="str">
        <f t="shared" si="22"/>
        <v/>
      </c>
      <c r="BQ32" s="28" t="str">
        <f t="shared" si="22"/>
        <v/>
      </c>
      <c r="BR32" s="28" t="str">
        <f t="shared" si="22"/>
        <v/>
      </c>
      <c r="BS32" s="28" t="str">
        <f t="shared" si="22"/>
        <v/>
      </c>
      <c r="BT32" s="28" t="str">
        <f t="shared" si="22"/>
        <v/>
      </c>
      <c r="BU32" s="28" t="str">
        <f t="shared" si="22"/>
        <v/>
      </c>
      <c r="BV32" s="28" t="str">
        <f t="shared" si="22"/>
        <v/>
      </c>
      <c r="BW32" s="28" t="str">
        <f t="shared" si="22"/>
        <v/>
      </c>
      <c r="BX32" s="28" t="str">
        <f t="shared" si="22"/>
        <v/>
      </c>
      <c r="BY32" s="28" t="str">
        <f t="shared" si="22"/>
        <v/>
      </c>
      <c r="BZ32" s="28" t="str">
        <f t="shared" si="22"/>
        <v/>
      </c>
      <c r="CA32" s="28" t="str">
        <f t="shared" si="22"/>
        <v/>
      </c>
      <c r="CB32" s="28" t="str">
        <f t="shared" si="22"/>
        <v/>
      </c>
      <c r="CC32" s="28" t="str">
        <f t="shared" si="22"/>
        <v/>
      </c>
      <c r="CD32" s="28" t="str">
        <f t="shared" si="22"/>
        <v/>
      </c>
      <c r="CE32" s="28" t="str">
        <f t="shared" si="22"/>
        <v/>
      </c>
      <c r="CF32" s="28" t="str">
        <f t="shared" si="22"/>
        <v/>
      </c>
    </row>
    <row r="33" spans="1:84">
      <c r="A33" s="10" t="s">
        <v>27</v>
      </c>
      <c r="B33" s="28">
        <f>B32*毛保费*B24</f>
        <v>372912.66290629882</v>
      </c>
      <c r="C33" s="28">
        <f t="shared" ref="C33:AH33" si="23">IF(B21&lt;保险期间,C32*毛保费*C24,"")</f>
        <v>370972.39832119737</v>
      </c>
      <c r="D33" s="28">
        <f t="shared" si="23"/>
        <v>368841.53286524041</v>
      </c>
      <c r="E33" s="28">
        <f t="shared" si="23"/>
        <v>366470.98833351553</v>
      </c>
      <c r="F33" s="28">
        <f t="shared" si="23"/>
        <v>363810.40895821422</v>
      </c>
      <c r="G33" s="28">
        <f t="shared" si="23"/>
        <v>0</v>
      </c>
      <c r="H33" s="28">
        <f t="shared" si="23"/>
        <v>0</v>
      </c>
      <c r="I33" s="28">
        <f t="shared" si="23"/>
        <v>0</v>
      </c>
      <c r="J33" s="28">
        <f t="shared" si="23"/>
        <v>0</v>
      </c>
      <c r="K33" s="28">
        <f t="shared" si="23"/>
        <v>0</v>
      </c>
      <c r="L33" s="28" t="str">
        <f t="shared" si="23"/>
        <v/>
      </c>
      <c r="M33" s="28" t="str">
        <f t="shared" si="23"/>
        <v/>
      </c>
      <c r="N33" s="28" t="str">
        <f t="shared" si="23"/>
        <v/>
      </c>
      <c r="O33" s="28" t="str">
        <f t="shared" si="23"/>
        <v/>
      </c>
      <c r="P33" s="28" t="str">
        <f t="shared" si="23"/>
        <v/>
      </c>
      <c r="Q33" s="28" t="str">
        <f t="shared" si="23"/>
        <v/>
      </c>
      <c r="R33" s="28" t="str">
        <f t="shared" si="23"/>
        <v/>
      </c>
      <c r="S33" s="28" t="str">
        <f t="shared" si="23"/>
        <v/>
      </c>
      <c r="T33" s="28" t="str">
        <f t="shared" si="23"/>
        <v/>
      </c>
      <c r="U33" s="28" t="str">
        <f t="shared" si="23"/>
        <v/>
      </c>
      <c r="V33" s="28" t="str">
        <f t="shared" si="23"/>
        <v/>
      </c>
      <c r="W33" s="28" t="str">
        <f t="shared" si="23"/>
        <v/>
      </c>
      <c r="X33" s="28" t="str">
        <f t="shared" si="23"/>
        <v/>
      </c>
      <c r="Y33" s="28" t="str">
        <f t="shared" si="23"/>
        <v/>
      </c>
      <c r="Z33" s="28" t="str">
        <f t="shared" si="23"/>
        <v/>
      </c>
      <c r="AA33" s="28" t="str">
        <f t="shared" si="23"/>
        <v/>
      </c>
      <c r="AB33" s="28" t="str">
        <f t="shared" si="23"/>
        <v/>
      </c>
      <c r="AC33" s="28" t="str">
        <f t="shared" si="23"/>
        <v/>
      </c>
      <c r="AD33" s="28" t="str">
        <f t="shared" si="23"/>
        <v/>
      </c>
      <c r="AE33" s="28" t="str">
        <f t="shared" si="23"/>
        <v/>
      </c>
      <c r="AF33" s="28" t="str">
        <f t="shared" si="23"/>
        <v/>
      </c>
      <c r="AG33" s="28" t="str">
        <f t="shared" si="23"/>
        <v/>
      </c>
      <c r="AH33" s="28" t="str">
        <f t="shared" si="23"/>
        <v/>
      </c>
      <c r="AI33" s="28" t="str">
        <f t="shared" ref="AI33:BN33" si="24">IF(AH21&lt;保险期间,AI32*毛保费*AI24,"")</f>
        <v/>
      </c>
      <c r="AJ33" s="28" t="str">
        <f t="shared" si="24"/>
        <v/>
      </c>
      <c r="AK33" s="28" t="str">
        <f t="shared" si="24"/>
        <v/>
      </c>
      <c r="AL33" s="28" t="str">
        <f t="shared" si="24"/>
        <v/>
      </c>
      <c r="AM33" s="28" t="str">
        <f t="shared" si="24"/>
        <v/>
      </c>
      <c r="AN33" s="28" t="str">
        <f t="shared" si="24"/>
        <v/>
      </c>
      <c r="AO33" s="28" t="str">
        <f t="shared" si="24"/>
        <v/>
      </c>
      <c r="AP33" s="28" t="str">
        <f t="shared" si="24"/>
        <v/>
      </c>
      <c r="AQ33" s="28" t="str">
        <f t="shared" si="24"/>
        <v/>
      </c>
      <c r="AR33" s="28" t="str">
        <f t="shared" si="24"/>
        <v/>
      </c>
      <c r="AS33" s="28" t="str">
        <f t="shared" si="24"/>
        <v/>
      </c>
      <c r="AT33" s="28" t="str">
        <f t="shared" si="24"/>
        <v/>
      </c>
      <c r="AU33" s="28" t="str">
        <f t="shared" si="24"/>
        <v/>
      </c>
      <c r="AV33" s="28" t="str">
        <f t="shared" si="24"/>
        <v/>
      </c>
      <c r="AW33" s="28" t="str">
        <f t="shared" si="24"/>
        <v/>
      </c>
      <c r="AX33" s="28" t="str">
        <f t="shared" si="24"/>
        <v/>
      </c>
      <c r="AY33" s="28" t="str">
        <f t="shared" si="24"/>
        <v/>
      </c>
      <c r="AZ33" s="28" t="str">
        <f t="shared" si="24"/>
        <v/>
      </c>
      <c r="BA33" s="28" t="str">
        <f t="shared" si="24"/>
        <v/>
      </c>
      <c r="BB33" s="28" t="str">
        <f t="shared" si="24"/>
        <v/>
      </c>
      <c r="BC33" s="28" t="str">
        <f t="shared" si="24"/>
        <v/>
      </c>
      <c r="BD33" s="28" t="str">
        <f t="shared" si="24"/>
        <v/>
      </c>
      <c r="BE33" s="28" t="str">
        <f t="shared" si="24"/>
        <v/>
      </c>
      <c r="BF33" s="28" t="str">
        <f t="shared" si="24"/>
        <v/>
      </c>
      <c r="BG33" s="28" t="str">
        <f t="shared" si="24"/>
        <v/>
      </c>
      <c r="BH33" s="28" t="str">
        <f t="shared" si="24"/>
        <v/>
      </c>
      <c r="BI33" s="28" t="str">
        <f t="shared" si="24"/>
        <v/>
      </c>
      <c r="BJ33" s="28" t="str">
        <f t="shared" si="24"/>
        <v/>
      </c>
      <c r="BK33" s="28" t="str">
        <f t="shared" si="24"/>
        <v/>
      </c>
      <c r="BL33" s="28" t="str">
        <f t="shared" si="24"/>
        <v/>
      </c>
      <c r="BM33" s="28" t="str">
        <f t="shared" si="24"/>
        <v/>
      </c>
      <c r="BN33" s="28" t="str">
        <f t="shared" si="24"/>
        <v/>
      </c>
      <c r="BO33" s="28" t="str">
        <f t="shared" ref="BO33:CF33" si="25">IF(BN21&lt;保险期间,BO32*毛保费*BO24,"")</f>
        <v/>
      </c>
      <c r="BP33" s="28" t="str">
        <f t="shared" si="25"/>
        <v/>
      </c>
      <c r="BQ33" s="28" t="str">
        <f t="shared" si="25"/>
        <v/>
      </c>
      <c r="BR33" s="28" t="str">
        <f t="shared" si="25"/>
        <v/>
      </c>
      <c r="BS33" s="28" t="str">
        <f t="shared" si="25"/>
        <v/>
      </c>
      <c r="BT33" s="28" t="str">
        <f t="shared" si="25"/>
        <v/>
      </c>
      <c r="BU33" s="28" t="str">
        <f t="shared" si="25"/>
        <v/>
      </c>
      <c r="BV33" s="28" t="str">
        <f t="shared" si="25"/>
        <v/>
      </c>
      <c r="BW33" s="28" t="str">
        <f t="shared" si="25"/>
        <v/>
      </c>
      <c r="BX33" s="28" t="str">
        <f t="shared" si="25"/>
        <v/>
      </c>
      <c r="BY33" s="28" t="str">
        <f t="shared" si="25"/>
        <v/>
      </c>
      <c r="BZ33" s="28" t="str">
        <f t="shared" si="25"/>
        <v/>
      </c>
      <c r="CA33" s="28" t="str">
        <f t="shared" si="25"/>
        <v/>
      </c>
      <c r="CB33" s="28" t="str">
        <f t="shared" si="25"/>
        <v/>
      </c>
      <c r="CC33" s="28" t="str">
        <f t="shared" si="25"/>
        <v/>
      </c>
      <c r="CD33" s="28" t="str">
        <f t="shared" si="25"/>
        <v/>
      </c>
      <c r="CE33" s="28" t="str">
        <f t="shared" si="25"/>
        <v/>
      </c>
      <c r="CF33" s="28" t="str">
        <f t="shared" si="25"/>
        <v/>
      </c>
    </row>
    <row r="34" spans="1:84">
      <c r="A34" s="10" t="s">
        <v>61</v>
      </c>
      <c r="B34" s="28">
        <f>B32*B26+B32*保额/1000*B27+B33*B28</f>
        <v>510936.8994359448</v>
      </c>
      <c r="C34" s="28">
        <f t="shared" ref="C34:AH34" si="26">IF(C30&lt;=保险期间,C32*C26+C32*保额/1000*C27+C33*C28,"")</f>
        <v>83210.424916059856</v>
      </c>
      <c r="D34" s="28">
        <f t="shared" si="26"/>
        <v>82732.46423534202</v>
      </c>
      <c r="E34" s="28">
        <f t="shared" si="26"/>
        <v>82200.74268770148</v>
      </c>
      <c r="F34" s="28">
        <f t="shared" si="26"/>
        <v>81603.965295788774</v>
      </c>
      <c r="G34" s="28">
        <f t="shared" si="26"/>
        <v>62891.615610224879</v>
      </c>
      <c r="H34" s="28">
        <f t="shared" si="26"/>
        <v>62305.905994046858</v>
      </c>
      <c r="I34" s="28">
        <f t="shared" si="26"/>
        <v>61652.317040169299</v>
      </c>
      <c r="J34" s="28">
        <f t="shared" si="26"/>
        <v>60928.087271898425</v>
      </c>
      <c r="K34" s="28">
        <f t="shared" si="26"/>
        <v>60130.477681422009</v>
      </c>
      <c r="L34" s="28" t="str">
        <f t="shared" si="26"/>
        <v/>
      </c>
      <c r="M34" s="28" t="str">
        <f t="shared" si="26"/>
        <v/>
      </c>
      <c r="N34" s="28" t="str">
        <f t="shared" si="26"/>
        <v/>
      </c>
      <c r="O34" s="28" t="str">
        <f t="shared" si="26"/>
        <v/>
      </c>
      <c r="P34" s="28" t="str">
        <f t="shared" si="26"/>
        <v/>
      </c>
      <c r="Q34" s="28" t="str">
        <f t="shared" si="26"/>
        <v/>
      </c>
      <c r="R34" s="28" t="str">
        <f t="shared" si="26"/>
        <v/>
      </c>
      <c r="S34" s="28" t="str">
        <f t="shared" si="26"/>
        <v/>
      </c>
      <c r="T34" s="28" t="str">
        <f t="shared" si="26"/>
        <v/>
      </c>
      <c r="U34" s="28" t="str">
        <f t="shared" si="26"/>
        <v/>
      </c>
      <c r="V34" s="28" t="str">
        <f t="shared" si="26"/>
        <v/>
      </c>
      <c r="W34" s="28" t="str">
        <f t="shared" si="26"/>
        <v/>
      </c>
      <c r="X34" s="28" t="str">
        <f t="shared" si="26"/>
        <v/>
      </c>
      <c r="Y34" s="28" t="str">
        <f t="shared" si="26"/>
        <v/>
      </c>
      <c r="Z34" s="28" t="str">
        <f t="shared" si="26"/>
        <v/>
      </c>
      <c r="AA34" s="28" t="str">
        <f t="shared" si="26"/>
        <v/>
      </c>
      <c r="AB34" s="28" t="str">
        <f t="shared" si="26"/>
        <v/>
      </c>
      <c r="AC34" s="28" t="str">
        <f t="shared" si="26"/>
        <v/>
      </c>
      <c r="AD34" s="28" t="str">
        <f t="shared" si="26"/>
        <v/>
      </c>
      <c r="AE34" s="28" t="str">
        <f t="shared" si="26"/>
        <v/>
      </c>
      <c r="AF34" s="28" t="str">
        <f t="shared" si="26"/>
        <v/>
      </c>
      <c r="AG34" s="28" t="str">
        <f t="shared" si="26"/>
        <v/>
      </c>
      <c r="AH34" s="28" t="str">
        <f t="shared" si="26"/>
        <v/>
      </c>
      <c r="AI34" s="28" t="str">
        <f t="shared" ref="AI34:BN34" si="27">IF(AI30&lt;=保险期间,AI32*AI26+AI32*保额/1000*AI27+AI33*AI28,"")</f>
        <v/>
      </c>
      <c r="AJ34" s="28" t="str">
        <f t="shared" si="27"/>
        <v/>
      </c>
      <c r="AK34" s="28" t="str">
        <f t="shared" si="27"/>
        <v/>
      </c>
      <c r="AL34" s="28" t="str">
        <f t="shared" si="27"/>
        <v/>
      </c>
      <c r="AM34" s="28" t="str">
        <f t="shared" si="27"/>
        <v/>
      </c>
      <c r="AN34" s="28" t="str">
        <f t="shared" si="27"/>
        <v/>
      </c>
      <c r="AO34" s="28" t="str">
        <f t="shared" si="27"/>
        <v/>
      </c>
      <c r="AP34" s="28" t="str">
        <f t="shared" si="27"/>
        <v/>
      </c>
      <c r="AQ34" s="28" t="str">
        <f t="shared" si="27"/>
        <v/>
      </c>
      <c r="AR34" s="28" t="str">
        <f t="shared" si="27"/>
        <v/>
      </c>
      <c r="AS34" s="28" t="str">
        <f t="shared" si="27"/>
        <v/>
      </c>
      <c r="AT34" s="28" t="str">
        <f t="shared" si="27"/>
        <v/>
      </c>
      <c r="AU34" s="28" t="str">
        <f t="shared" si="27"/>
        <v/>
      </c>
      <c r="AV34" s="28" t="str">
        <f t="shared" si="27"/>
        <v/>
      </c>
      <c r="AW34" s="28" t="str">
        <f t="shared" si="27"/>
        <v/>
      </c>
      <c r="AX34" s="28" t="str">
        <f t="shared" si="27"/>
        <v/>
      </c>
      <c r="AY34" s="28" t="str">
        <f t="shared" si="27"/>
        <v/>
      </c>
      <c r="AZ34" s="28" t="str">
        <f t="shared" si="27"/>
        <v/>
      </c>
      <c r="BA34" s="28" t="str">
        <f t="shared" si="27"/>
        <v/>
      </c>
      <c r="BB34" s="28" t="str">
        <f t="shared" si="27"/>
        <v/>
      </c>
      <c r="BC34" s="28" t="str">
        <f t="shared" si="27"/>
        <v/>
      </c>
      <c r="BD34" s="28" t="str">
        <f t="shared" si="27"/>
        <v/>
      </c>
      <c r="BE34" s="28" t="str">
        <f t="shared" si="27"/>
        <v/>
      </c>
      <c r="BF34" s="28" t="str">
        <f t="shared" si="27"/>
        <v/>
      </c>
      <c r="BG34" s="28" t="str">
        <f t="shared" si="27"/>
        <v/>
      </c>
      <c r="BH34" s="28" t="str">
        <f t="shared" si="27"/>
        <v/>
      </c>
      <c r="BI34" s="28" t="str">
        <f t="shared" si="27"/>
        <v/>
      </c>
      <c r="BJ34" s="28" t="str">
        <f t="shared" si="27"/>
        <v/>
      </c>
      <c r="BK34" s="28" t="str">
        <f t="shared" si="27"/>
        <v/>
      </c>
      <c r="BL34" s="28" t="str">
        <f t="shared" si="27"/>
        <v/>
      </c>
      <c r="BM34" s="28" t="str">
        <f t="shared" si="27"/>
        <v/>
      </c>
      <c r="BN34" s="28" t="str">
        <f t="shared" si="27"/>
        <v/>
      </c>
      <c r="BO34" s="28" t="str">
        <f t="shared" ref="BO34:CF34" si="28">IF(BO30&lt;=保险期间,BO32*BO26+BO32*保额/1000*BO27+BO33*BO28,"")</f>
        <v/>
      </c>
      <c r="BP34" s="28" t="str">
        <f t="shared" si="28"/>
        <v/>
      </c>
      <c r="BQ34" s="28" t="str">
        <f t="shared" si="28"/>
        <v/>
      </c>
      <c r="BR34" s="28" t="str">
        <f t="shared" si="28"/>
        <v/>
      </c>
      <c r="BS34" s="28" t="str">
        <f t="shared" si="28"/>
        <v/>
      </c>
      <c r="BT34" s="28" t="str">
        <f t="shared" si="28"/>
        <v/>
      </c>
      <c r="BU34" s="28" t="str">
        <f t="shared" si="28"/>
        <v/>
      </c>
      <c r="BV34" s="28" t="str">
        <f t="shared" si="28"/>
        <v/>
      </c>
      <c r="BW34" s="28" t="str">
        <f t="shared" si="28"/>
        <v/>
      </c>
      <c r="BX34" s="28" t="str">
        <f t="shared" si="28"/>
        <v/>
      </c>
      <c r="BY34" s="28" t="str">
        <f t="shared" si="28"/>
        <v/>
      </c>
      <c r="BZ34" s="28" t="str">
        <f t="shared" si="28"/>
        <v/>
      </c>
      <c r="CA34" s="28" t="str">
        <f t="shared" si="28"/>
        <v/>
      </c>
      <c r="CB34" s="28" t="str">
        <f t="shared" si="28"/>
        <v/>
      </c>
      <c r="CC34" s="28" t="str">
        <f t="shared" si="28"/>
        <v/>
      </c>
      <c r="CD34" s="28" t="str">
        <f t="shared" si="28"/>
        <v/>
      </c>
      <c r="CE34" s="28" t="str">
        <f t="shared" si="28"/>
        <v/>
      </c>
      <c r="CF34" s="28" t="str">
        <f t="shared" si="28"/>
        <v/>
      </c>
    </row>
    <row r="35" spans="1:84" s="23" customFormat="1">
      <c r="A35" s="23" t="s">
        <v>28</v>
      </c>
      <c r="B35" s="63">
        <f>B31+B33-B34</f>
        <v>-138024.23652964598</v>
      </c>
      <c r="C35" s="63">
        <f t="shared" ref="C35:AH35" si="29">IF(B21&lt;保险期间,C31+C33-C34,"")</f>
        <v>90806.525049009244</v>
      </c>
      <c r="D35" s="63">
        <f t="shared" si="29"/>
        <v>324314.78025135817</v>
      </c>
      <c r="E35" s="63">
        <f t="shared" si="29"/>
        <v>561232.40782446344</v>
      </c>
      <c r="F35" s="63">
        <f t="shared" si="29"/>
        <v>800154.56062462786</v>
      </c>
      <c r="G35" s="63">
        <f t="shared" si="29"/>
        <v>696989.25186822074</v>
      </c>
      <c r="H35" s="63">
        <f t="shared" si="29"/>
        <v>579423.63674788899</v>
      </c>
      <c r="I35" s="63">
        <f t="shared" si="29"/>
        <v>446190.35479472164</v>
      </c>
      <c r="J35" s="63">
        <f t="shared" si="29"/>
        <v>296151.82091319491</v>
      </c>
      <c r="K35" s="63">
        <f t="shared" si="29"/>
        <v>128119.76651182921</v>
      </c>
      <c r="L35" s="63" t="str">
        <f t="shared" si="29"/>
        <v/>
      </c>
      <c r="M35" s="63" t="str">
        <f t="shared" si="29"/>
        <v/>
      </c>
      <c r="N35" s="63" t="str">
        <f t="shared" si="29"/>
        <v/>
      </c>
      <c r="O35" s="63" t="str">
        <f t="shared" si="29"/>
        <v/>
      </c>
      <c r="P35" s="63" t="str">
        <f t="shared" si="29"/>
        <v/>
      </c>
      <c r="Q35" s="63" t="str">
        <f t="shared" si="29"/>
        <v/>
      </c>
      <c r="R35" s="63" t="str">
        <f t="shared" si="29"/>
        <v/>
      </c>
      <c r="S35" s="63" t="str">
        <f t="shared" si="29"/>
        <v/>
      </c>
      <c r="T35" s="63" t="str">
        <f t="shared" si="29"/>
        <v/>
      </c>
      <c r="U35" s="63" t="str">
        <f t="shared" si="29"/>
        <v/>
      </c>
      <c r="V35" s="63" t="str">
        <f t="shared" si="29"/>
        <v/>
      </c>
      <c r="W35" s="63" t="str">
        <f t="shared" si="29"/>
        <v/>
      </c>
      <c r="X35" s="63" t="str">
        <f t="shared" si="29"/>
        <v/>
      </c>
      <c r="Y35" s="63" t="str">
        <f t="shared" si="29"/>
        <v/>
      </c>
      <c r="Z35" s="63" t="str">
        <f t="shared" si="29"/>
        <v/>
      </c>
      <c r="AA35" s="63" t="str">
        <f t="shared" si="29"/>
        <v/>
      </c>
      <c r="AB35" s="63" t="str">
        <f t="shared" si="29"/>
        <v/>
      </c>
      <c r="AC35" s="63" t="str">
        <f t="shared" si="29"/>
        <v/>
      </c>
      <c r="AD35" s="63" t="str">
        <f t="shared" si="29"/>
        <v/>
      </c>
      <c r="AE35" s="63" t="str">
        <f t="shared" si="29"/>
        <v/>
      </c>
      <c r="AF35" s="63" t="str">
        <f t="shared" si="29"/>
        <v/>
      </c>
      <c r="AG35" s="63" t="str">
        <f t="shared" si="29"/>
        <v/>
      </c>
      <c r="AH35" s="63" t="str">
        <f t="shared" si="29"/>
        <v/>
      </c>
      <c r="AI35" s="63" t="str">
        <f t="shared" ref="AI35:BN35" si="30">IF(AH21&lt;保险期间,AI31+AI33-AI34,"")</f>
        <v/>
      </c>
      <c r="AJ35" s="63" t="str">
        <f t="shared" si="30"/>
        <v/>
      </c>
      <c r="AK35" s="63" t="str">
        <f t="shared" si="30"/>
        <v/>
      </c>
      <c r="AL35" s="63" t="str">
        <f t="shared" si="30"/>
        <v/>
      </c>
      <c r="AM35" s="63" t="str">
        <f t="shared" si="30"/>
        <v/>
      </c>
      <c r="AN35" s="63" t="str">
        <f t="shared" si="30"/>
        <v/>
      </c>
      <c r="AO35" s="63" t="str">
        <f t="shared" si="30"/>
        <v/>
      </c>
      <c r="AP35" s="63" t="str">
        <f t="shared" si="30"/>
        <v/>
      </c>
      <c r="AQ35" s="63" t="str">
        <f t="shared" si="30"/>
        <v/>
      </c>
      <c r="AR35" s="63" t="str">
        <f t="shared" si="30"/>
        <v/>
      </c>
      <c r="AS35" s="63" t="str">
        <f t="shared" si="30"/>
        <v/>
      </c>
      <c r="AT35" s="63" t="str">
        <f t="shared" si="30"/>
        <v/>
      </c>
      <c r="AU35" s="63" t="str">
        <f t="shared" si="30"/>
        <v/>
      </c>
      <c r="AV35" s="63" t="str">
        <f t="shared" si="30"/>
        <v/>
      </c>
      <c r="AW35" s="63" t="str">
        <f t="shared" si="30"/>
        <v/>
      </c>
      <c r="AX35" s="63" t="str">
        <f t="shared" si="30"/>
        <v/>
      </c>
      <c r="AY35" s="63" t="str">
        <f t="shared" si="30"/>
        <v/>
      </c>
      <c r="AZ35" s="63" t="str">
        <f t="shared" si="30"/>
        <v/>
      </c>
      <c r="BA35" s="63" t="str">
        <f t="shared" si="30"/>
        <v/>
      </c>
      <c r="BB35" s="63" t="str">
        <f t="shared" si="30"/>
        <v/>
      </c>
      <c r="BC35" s="63" t="str">
        <f t="shared" si="30"/>
        <v/>
      </c>
      <c r="BD35" s="63" t="str">
        <f t="shared" si="30"/>
        <v/>
      </c>
      <c r="BE35" s="63" t="str">
        <f t="shared" si="30"/>
        <v/>
      </c>
      <c r="BF35" s="63" t="str">
        <f t="shared" si="30"/>
        <v/>
      </c>
      <c r="BG35" s="63" t="str">
        <f t="shared" si="30"/>
        <v/>
      </c>
      <c r="BH35" s="63" t="str">
        <f t="shared" si="30"/>
        <v/>
      </c>
      <c r="BI35" s="63" t="str">
        <f t="shared" si="30"/>
        <v/>
      </c>
      <c r="BJ35" s="63" t="str">
        <f t="shared" si="30"/>
        <v/>
      </c>
      <c r="BK35" s="63" t="str">
        <f t="shared" si="30"/>
        <v/>
      </c>
      <c r="BL35" s="63" t="str">
        <f t="shared" si="30"/>
        <v/>
      </c>
      <c r="BM35" s="63" t="str">
        <f t="shared" si="30"/>
        <v/>
      </c>
      <c r="BN35" s="63" t="str">
        <f t="shared" si="30"/>
        <v/>
      </c>
      <c r="BO35" s="63" t="str">
        <f t="shared" ref="BO35:CF35" si="31">IF(BN21&lt;保险期间,BO31+BO33-BO34,"")</f>
        <v/>
      </c>
      <c r="BP35" s="63" t="str">
        <f t="shared" si="31"/>
        <v/>
      </c>
      <c r="BQ35" s="63" t="str">
        <f t="shared" si="31"/>
        <v/>
      </c>
      <c r="BR35" s="63" t="str">
        <f t="shared" si="31"/>
        <v/>
      </c>
      <c r="BS35" s="63" t="str">
        <f t="shared" si="31"/>
        <v/>
      </c>
      <c r="BT35" s="63" t="str">
        <f t="shared" si="31"/>
        <v/>
      </c>
      <c r="BU35" s="63" t="str">
        <f t="shared" si="31"/>
        <v/>
      </c>
      <c r="BV35" s="63" t="str">
        <f t="shared" si="31"/>
        <v/>
      </c>
      <c r="BW35" s="63" t="str">
        <f t="shared" si="31"/>
        <v/>
      </c>
      <c r="BX35" s="63" t="str">
        <f t="shared" si="31"/>
        <v/>
      </c>
      <c r="BY35" s="63" t="str">
        <f t="shared" si="31"/>
        <v/>
      </c>
      <c r="BZ35" s="63" t="str">
        <f t="shared" si="31"/>
        <v/>
      </c>
      <c r="CA35" s="63" t="str">
        <f t="shared" si="31"/>
        <v/>
      </c>
      <c r="CB35" s="63" t="str">
        <f t="shared" si="31"/>
        <v/>
      </c>
      <c r="CC35" s="63" t="str">
        <f t="shared" si="31"/>
        <v/>
      </c>
      <c r="CD35" s="63" t="str">
        <f t="shared" si="31"/>
        <v/>
      </c>
      <c r="CE35" s="63" t="str">
        <f t="shared" si="31"/>
        <v/>
      </c>
      <c r="CF35" s="63" t="str">
        <f t="shared" si="31"/>
        <v/>
      </c>
    </row>
    <row r="36" spans="1:84">
      <c r="A36" s="10" t="s">
        <v>29</v>
      </c>
      <c r="B36" s="28">
        <f>B35*B23</f>
        <v>-6901.2118264822993</v>
      </c>
      <c r="C36" s="28">
        <f t="shared" ref="C36:AH36" si="32">IF(B21&lt;保险期间,C35*C23,"")</f>
        <v>4540.3262524504626</v>
      </c>
      <c r="D36" s="28">
        <f t="shared" si="32"/>
        <v>16215.739012567909</v>
      </c>
      <c r="E36" s="28">
        <f t="shared" si="32"/>
        <v>28061.620391223172</v>
      </c>
      <c r="F36" s="28">
        <f t="shared" si="32"/>
        <v>40007.728031231396</v>
      </c>
      <c r="G36" s="28">
        <f t="shared" si="32"/>
        <v>34849.462593411037</v>
      </c>
      <c r="H36" s="28">
        <f t="shared" si="32"/>
        <v>28971.181837394452</v>
      </c>
      <c r="I36" s="28">
        <f t="shared" si="32"/>
        <v>22309.517739736082</v>
      </c>
      <c r="J36" s="28">
        <f t="shared" si="32"/>
        <v>14807.591045659747</v>
      </c>
      <c r="K36" s="28">
        <f t="shared" si="32"/>
        <v>6405.988325591461</v>
      </c>
      <c r="L36" s="28" t="str">
        <f t="shared" si="32"/>
        <v/>
      </c>
      <c r="M36" s="28" t="str">
        <f t="shared" si="32"/>
        <v/>
      </c>
      <c r="N36" s="28" t="str">
        <f t="shared" si="32"/>
        <v/>
      </c>
      <c r="O36" s="28" t="str">
        <f t="shared" si="32"/>
        <v/>
      </c>
      <c r="P36" s="28" t="str">
        <f t="shared" si="32"/>
        <v/>
      </c>
      <c r="Q36" s="28" t="str">
        <f t="shared" si="32"/>
        <v/>
      </c>
      <c r="R36" s="28" t="str">
        <f t="shared" si="32"/>
        <v/>
      </c>
      <c r="S36" s="28" t="str">
        <f t="shared" si="32"/>
        <v/>
      </c>
      <c r="T36" s="28" t="str">
        <f t="shared" si="32"/>
        <v/>
      </c>
      <c r="U36" s="28" t="str">
        <f t="shared" si="32"/>
        <v/>
      </c>
      <c r="V36" s="28" t="str">
        <f t="shared" si="32"/>
        <v/>
      </c>
      <c r="W36" s="28" t="str">
        <f t="shared" si="32"/>
        <v/>
      </c>
      <c r="X36" s="28" t="str">
        <f t="shared" si="32"/>
        <v/>
      </c>
      <c r="Y36" s="28" t="str">
        <f t="shared" si="32"/>
        <v/>
      </c>
      <c r="Z36" s="28" t="str">
        <f t="shared" si="32"/>
        <v/>
      </c>
      <c r="AA36" s="28" t="str">
        <f t="shared" si="32"/>
        <v/>
      </c>
      <c r="AB36" s="28" t="str">
        <f t="shared" si="32"/>
        <v/>
      </c>
      <c r="AC36" s="28" t="str">
        <f t="shared" si="32"/>
        <v/>
      </c>
      <c r="AD36" s="28" t="str">
        <f t="shared" si="32"/>
        <v/>
      </c>
      <c r="AE36" s="28" t="str">
        <f t="shared" si="32"/>
        <v/>
      </c>
      <c r="AF36" s="28" t="str">
        <f t="shared" si="32"/>
        <v/>
      </c>
      <c r="AG36" s="28" t="str">
        <f t="shared" si="32"/>
        <v/>
      </c>
      <c r="AH36" s="28" t="str">
        <f t="shared" si="32"/>
        <v/>
      </c>
      <c r="AI36" s="28" t="str">
        <f t="shared" ref="AI36:BN36" si="33">IF(AH21&lt;保险期间,AI35*AI23,"")</f>
        <v/>
      </c>
      <c r="AJ36" s="28" t="str">
        <f t="shared" si="33"/>
        <v/>
      </c>
      <c r="AK36" s="28" t="str">
        <f t="shared" si="33"/>
        <v/>
      </c>
      <c r="AL36" s="28" t="str">
        <f t="shared" si="33"/>
        <v/>
      </c>
      <c r="AM36" s="28" t="str">
        <f t="shared" si="33"/>
        <v/>
      </c>
      <c r="AN36" s="28" t="str">
        <f t="shared" si="33"/>
        <v/>
      </c>
      <c r="AO36" s="28" t="str">
        <f t="shared" si="33"/>
        <v/>
      </c>
      <c r="AP36" s="28" t="str">
        <f t="shared" si="33"/>
        <v/>
      </c>
      <c r="AQ36" s="28" t="str">
        <f t="shared" si="33"/>
        <v/>
      </c>
      <c r="AR36" s="28" t="str">
        <f t="shared" si="33"/>
        <v/>
      </c>
      <c r="AS36" s="28" t="str">
        <f t="shared" si="33"/>
        <v/>
      </c>
      <c r="AT36" s="28" t="str">
        <f t="shared" si="33"/>
        <v/>
      </c>
      <c r="AU36" s="28" t="str">
        <f t="shared" si="33"/>
        <v/>
      </c>
      <c r="AV36" s="28" t="str">
        <f t="shared" si="33"/>
        <v/>
      </c>
      <c r="AW36" s="28" t="str">
        <f t="shared" si="33"/>
        <v/>
      </c>
      <c r="AX36" s="28" t="str">
        <f t="shared" si="33"/>
        <v/>
      </c>
      <c r="AY36" s="28" t="str">
        <f t="shared" si="33"/>
        <v/>
      </c>
      <c r="AZ36" s="28" t="str">
        <f t="shared" si="33"/>
        <v/>
      </c>
      <c r="BA36" s="28" t="str">
        <f t="shared" si="33"/>
        <v/>
      </c>
      <c r="BB36" s="28" t="str">
        <f t="shared" si="33"/>
        <v/>
      </c>
      <c r="BC36" s="28" t="str">
        <f t="shared" si="33"/>
        <v/>
      </c>
      <c r="BD36" s="28" t="str">
        <f t="shared" si="33"/>
        <v/>
      </c>
      <c r="BE36" s="28" t="str">
        <f t="shared" si="33"/>
        <v/>
      </c>
      <c r="BF36" s="28" t="str">
        <f t="shared" si="33"/>
        <v/>
      </c>
      <c r="BG36" s="28" t="str">
        <f t="shared" si="33"/>
        <v/>
      </c>
      <c r="BH36" s="28" t="str">
        <f t="shared" si="33"/>
        <v/>
      </c>
      <c r="BI36" s="28" t="str">
        <f t="shared" si="33"/>
        <v/>
      </c>
      <c r="BJ36" s="28" t="str">
        <f t="shared" si="33"/>
        <v/>
      </c>
      <c r="BK36" s="28" t="str">
        <f t="shared" si="33"/>
        <v/>
      </c>
      <c r="BL36" s="28" t="str">
        <f t="shared" si="33"/>
        <v/>
      </c>
      <c r="BM36" s="28" t="str">
        <f t="shared" si="33"/>
        <v/>
      </c>
      <c r="BN36" s="28" t="str">
        <f t="shared" si="33"/>
        <v/>
      </c>
      <c r="BO36" s="28" t="str">
        <f t="shared" ref="BO36:CF36" si="34">IF(BN21&lt;保险期间,BO35*BO23,"")</f>
        <v/>
      </c>
      <c r="BP36" s="28" t="str">
        <f t="shared" si="34"/>
        <v/>
      </c>
      <c r="BQ36" s="28" t="str">
        <f t="shared" si="34"/>
        <v/>
      </c>
      <c r="BR36" s="28" t="str">
        <f t="shared" si="34"/>
        <v/>
      </c>
      <c r="BS36" s="28" t="str">
        <f t="shared" si="34"/>
        <v/>
      </c>
      <c r="BT36" s="28" t="str">
        <f t="shared" si="34"/>
        <v/>
      </c>
      <c r="BU36" s="28" t="str">
        <f t="shared" si="34"/>
        <v/>
      </c>
      <c r="BV36" s="28" t="str">
        <f t="shared" si="34"/>
        <v/>
      </c>
      <c r="BW36" s="28" t="str">
        <f t="shared" si="34"/>
        <v/>
      </c>
      <c r="BX36" s="28" t="str">
        <f t="shared" si="34"/>
        <v/>
      </c>
      <c r="BY36" s="28" t="str">
        <f t="shared" si="34"/>
        <v/>
      </c>
      <c r="BZ36" s="28" t="str">
        <f t="shared" si="34"/>
        <v/>
      </c>
      <c r="CA36" s="28" t="str">
        <f t="shared" si="34"/>
        <v/>
      </c>
      <c r="CB36" s="28" t="str">
        <f t="shared" si="34"/>
        <v/>
      </c>
      <c r="CC36" s="28" t="str">
        <f t="shared" si="34"/>
        <v/>
      </c>
      <c r="CD36" s="28" t="str">
        <f t="shared" si="34"/>
        <v/>
      </c>
      <c r="CE36" s="28" t="str">
        <f t="shared" si="34"/>
        <v/>
      </c>
      <c r="CF36" s="28" t="str">
        <f t="shared" si="34"/>
        <v/>
      </c>
    </row>
    <row r="37" spans="1:84">
      <c r="A37" s="10" t="s">
        <v>34</v>
      </c>
      <c r="B37" s="28">
        <f>B35+B36</f>
        <v>-144925.44835612827</v>
      </c>
      <c r="C37" s="28">
        <f t="shared" ref="C37:AH37" si="35">IF(B21&lt;保险期间,C35+C36,"")</f>
        <v>95346.851301459712</v>
      </c>
      <c r="D37" s="28">
        <f t="shared" si="35"/>
        <v>340530.51926392608</v>
      </c>
      <c r="E37" s="28">
        <f t="shared" si="35"/>
        <v>589294.02821568656</v>
      </c>
      <c r="F37" s="28">
        <f t="shared" si="35"/>
        <v>840162.2886558593</v>
      </c>
      <c r="G37" s="28">
        <f t="shared" si="35"/>
        <v>731838.71446163184</v>
      </c>
      <c r="H37" s="28">
        <f t="shared" si="35"/>
        <v>608394.81858528347</v>
      </c>
      <c r="I37" s="28">
        <f t="shared" si="35"/>
        <v>468499.87253445771</v>
      </c>
      <c r="J37" s="28">
        <f t="shared" si="35"/>
        <v>310959.41195885465</v>
      </c>
      <c r="K37" s="28">
        <f t="shared" si="35"/>
        <v>134525.75483742065</v>
      </c>
      <c r="L37" s="28" t="str">
        <f t="shared" si="35"/>
        <v/>
      </c>
      <c r="M37" s="28" t="str">
        <f t="shared" si="35"/>
        <v/>
      </c>
      <c r="N37" s="28" t="str">
        <f t="shared" si="35"/>
        <v/>
      </c>
      <c r="O37" s="28" t="str">
        <f t="shared" si="35"/>
        <v/>
      </c>
      <c r="P37" s="28" t="str">
        <f t="shared" si="35"/>
        <v/>
      </c>
      <c r="Q37" s="28" t="str">
        <f t="shared" si="35"/>
        <v/>
      </c>
      <c r="R37" s="28" t="str">
        <f t="shared" si="35"/>
        <v/>
      </c>
      <c r="S37" s="28" t="str">
        <f t="shared" si="35"/>
        <v/>
      </c>
      <c r="T37" s="28" t="str">
        <f t="shared" si="35"/>
        <v/>
      </c>
      <c r="U37" s="28" t="str">
        <f t="shared" si="35"/>
        <v/>
      </c>
      <c r="V37" s="28" t="str">
        <f t="shared" si="35"/>
        <v/>
      </c>
      <c r="W37" s="28" t="str">
        <f t="shared" si="35"/>
        <v/>
      </c>
      <c r="X37" s="28" t="str">
        <f t="shared" si="35"/>
        <v/>
      </c>
      <c r="Y37" s="28" t="str">
        <f t="shared" si="35"/>
        <v/>
      </c>
      <c r="Z37" s="28" t="str">
        <f t="shared" si="35"/>
        <v/>
      </c>
      <c r="AA37" s="28" t="str">
        <f t="shared" si="35"/>
        <v/>
      </c>
      <c r="AB37" s="28" t="str">
        <f t="shared" si="35"/>
        <v/>
      </c>
      <c r="AC37" s="28" t="str">
        <f t="shared" si="35"/>
        <v/>
      </c>
      <c r="AD37" s="28" t="str">
        <f t="shared" si="35"/>
        <v/>
      </c>
      <c r="AE37" s="28" t="str">
        <f t="shared" si="35"/>
        <v/>
      </c>
      <c r="AF37" s="28" t="str">
        <f t="shared" si="35"/>
        <v/>
      </c>
      <c r="AG37" s="28" t="str">
        <f t="shared" si="35"/>
        <v/>
      </c>
      <c r="AH37" s="28" t="str">
        <f t="shared" si="35"/>
        <v/>
      </c>
      <c r="AI37" s="28" t="str">
        <f t="shared" ref="AI37:BN37" si="36">IF(AH21&lt;保险期间,AI35+AI36,"")</f>
        <v/>
      </c>
      <c r="AJ37" s="28" t="str">
        <f t="shared" si="36"/>
        <v/>
      </c>
      <c r="AK37" s="28" t="str">
        <f t="shared" si="36"/>
        <v/>
      </c>
      <c r="AL37" s="28" t="str">
        <f t="shared" si="36"/>
        <v/>
      </c>
      <c r="AM37" s="28" t="str">
        <f t="shared" si="36"/>
        <v/>
      </c>
      <c r="AN37" s="28" t="str">
        <f t="shared" si="36"/>
        <v/>
      </c>
      <c r="AO37" s="28" t="str">
        <f t="shared" si="36"/>
        <v/>
      </c>
      <c r="AP37" s="28" t="str">
        <f t="shared" si="36"/>
        <v/>
      </c>
      <c r="AQ37" s="28" t="str">
        <f t="shared" si="36"/>
        <v/>
      </c>
      <c r="AR37" s="28" t="str">
        <f t="shared" si="36"/>
        <v/>
      </c>
      <c r="AS37" s="28" t="str">
        <f t="shared" si="36"/>
        <v/>
      </c>
      <c r="AT37" s="28" t="str">
        <f t="shared" si="36"/>
        <v/>
      </c>
      <c r="AU37" s="28" t="str">
        <f t="shared" si="36"/>
        <v/>
      </c>
      <c r="AV37" s="28" t="str">
        <f t="shared" si="36"/>
        <v/>
      </c>
      <c r="AW37" s="28" t="str">
        <f t="shared" si="36"/>
        <v/>
      </c>
      <c r="AX37" s="28" t="str">
        <f t="shared" si="36"/>
        <v/>
      </c>
      <c r="AY37" s="28" t="str">
        <f t="shared" si="36"/>
        <v/>
      </c>
      <c r="AZ37" s="28" t="str">
        <f t="shared" si="36"/>
        <v/>
      </c>
      <c r="BA37" s="28" t="str">
        <f t="shared" si="36"/>
        <v/>
      </c>
      <c r="BB37" s="28" t="str">
        <f t="shared" si="36"/>
        <v/>
      </c>
      <c r="BC37" s="28" t="str">
        <f t="shared" si="36"/>
        <v/>
      </c>
      <c r="BD37" s="28" t="str">
        <f t="shared" si="36"/>
        <v/>
      </c>
      <c r="BE37" s="28" t="str">
        <f t="shared" si="36"/>
        <v/>
      </c>
      <c r="BF37" s="28" t="str">
        <f t="shared" si="36"/>
        <v/>
      </c>
      <c r="BG37" s="28" t="str">
        <f t="shared" si="36"/>
        <v/>
      </c>
      <c r="BH37" s="28" t="str">
        <f t="shared" si="36"/>
        <v/>
      </c>
      <c r="BI37" s="28" t="str">
        <f t="shared" si="36"/>
        <v/>
      </c>
      <c r="BJ37" s="28" t="str">
        <f t="shared" si="36"/>
        <v/>
      </c>
      <c r="BK37" s="28" t="str">
        <f t="shared" si="36"/>
        <v/>
      </c>
      <c r="BL37" s="28" t="str">
        <f t="shared" si="36"/>
        <v/>
      </c>
      <c r="BM37" s="28" t="str">
        <f t="shared" si="36"/>
        <v/>
      </c>
      <c r="BN37" s="28" t="str">
        <f t="shared" si="36"/>
        <v/>
      </c>
      <c r="BO37" s="28" t="str">
        <f t="shared" ref="BO37:CF37" si="37">IF(BN21&lt;保险期间,BO35+BO36,"")</f>
        <v/>
      </c>
      <c r="BP37" s="28" t="str">
        <f t="shared" si="37"/>
        <v/>
      </c>
      <c r="BQ37" s="28" t="str">
        <f t="shared" si="37"/>
        <v/>
      </c>
      <c r="BR37" s="28" t="str">
        <f t="shared" si="37"/>
        <v/>
      </c>
      <c r="BS37" s="28" t="str">
        <f t="shared" si="37"/>
        <v/>
      </c>
      <c r="BT37" s="28" t="str">
        <f t="shared" si="37"/>
        <v/>
      </c>
      <c r="BU37" s="28" t="str">
        <f t="shared" si="37"/>
        <v/>
      </c>
      <c r="BV37" s="28" t="str">
        <f t="shared" si="37"/>
        <v/>
      </c>
      <c r="BW37" s="28" t="str">
        <f t="shared" si="37"/>
        <v/>
      </c>
      <c r="BX37" s="28" t="str">
        <f t="shared" si="37"/>
        <v/>
      </c>
      <c r="BY37" s="28" t="str">
        <f t="shared" si="37"/>
        <v/>
      </c>
      <c r="BZ37" s="28" t="str">
        <f t="shared" si="37"/>
        <v/>
      </c>
      <c r="CA37" s="28" t="str">
        <f t="shared" si="37"/>
        <v/>
      </c>
      <c r="CB37" s="28" t="str">
        <f t="shared" si="37"/>
        <v/>
      </c>
      <c r="CC37" s="28" t="str">
        <f t="shared" si="37"/>
        <v/>
      </c>
      <c r="CD37" s="28" t="str">
        <f t="shared" si="37"/>
        <v/>
      </c>
      <c r="CE37" s="28" t="str">
        <f t="shared" si="37"/>
        <v/>
      </c>
      <c r="CF37" s="28" t="str">
        <f t="shared" si="37"/>
        <v/>
      </c>
    </row>
    <row r="38" spans="1:84">
      <c r="A38" s="10" t="s">
        <v>30</v>
      </c>
      <c r="B38" s="28">
        <f>B32*B22</f>
        <v>52.03</v>
      </c>
      <c r="C38" s="28">
        <f t="shared" ref="C38:AH38" si="38">IF(B21&lt;保险期间,C32*C22,"")</f>
        <v>57.141139679999995</v>
      </c>
      <c r="D38" s="28">
        <f t="shared" si="38"/>
        <v>63.568357085276645</v>
      </c>
      <c r="E38" s="28">
        <f t="shared" si="38"/>
        <v>71.34591125348409</v>
      </c>
      <c r="F38" s="28">
        <f t="shared" si="38"/>
        <v>80.28142117741362</v>
      </c>
      <c r="G38" s="28">
        <f t="shared" si="38"/>
        <v>90.109171719696036</v>
      </c>
      <c r="H38" s="28">
        <f t="shared" si="38"/>
        <v>100.55214675039252</v>
      </c>
      <c r="I38" s="28">
        <f t="shared" si="38"/>
        <v>111.41996434936442</v>
      </c>
      <c r="J38" s="28">
        <f t="shared" si="38"/>
        <v>122.70916776560342</v>
      </c>
      <c r="K38" s="28">
        <f t="shared" si="38"/>
        <v>134.52575483742135</v>
      </c>
      <c r="L38" s="28" t="str">
        <f t="shared" si="38"/>
        <v/>
      </c>
      <c r="M38" s="28" t="str">
        <f t="shared" si="38"/>
        <v/>
      </c>
      <c r="N38" s="28" t="str">
        <f t="shared" si="38"/>
        <v/>
      </c>
      <c r="O38" s="28" t="str">
        <f t="shared" si="38"/>
        <v/>
      </c>
      <c r="P38" s="28" t="str">
        <f t="shared" si="38"/>
        <v/>
      </c>
      <c r="Q38" s="28" t="str">
        <f t="shared" si="38"/>
        <v/>
      </c>
      <c r="R38" s="28" t="str">
        <f t="shared" si="38"/>
        <v/>
      </c>
      <c r="S38" s="28" t="str">
        <f t="shared" si="38"/>
        <v/>
      </c>
      <c r="T38" s="28" t="str">
        <f t="shared" si="38"/>
        <v/>
      </c>
      <c r="U38" s="28" t="str">
        <f t="shared" si="38"/>
        <v/>
      </c>
      <c r="V38" s="28" t="str">
        <f t="shared" si="38"/>
        <v/>
      </c>
      <c r="W38" s="28" t="str">
        <f t="shared" si="38"/>
        <v/>
      </c>
      <c r="X38" s="28" t="str">
        <f t="shared" si="38"/>
        <v/>
      </c>
      <c r="Y38" s="28" t="str">
        <f t="shared" si="38"/>
        <v/>
      </c>
      <c r="Z38" s="28" t="str">
        <f t="shared" si="38"/>
        <v/>
      </c>
      <c r="AA38" s="28" t="str">
        <f t="shared" si="38"/>
        <v/>
      </c>
      <c r="AB38" s="28" t="str">
        <f t="shared" si="38"/>
        <v/>
      </c>
      <c r="AC38" s="28" t="str">
        <f t="shared" si="38"/>
        <v/>
      </c>
      <c r="AD38" s="28" t="str">
        <f t="shared" si="38"/>
        <v/>
      </c>
      <c r="AE38" s="28" t="str">
        <f t="shared" si="38"/>
        <v/>
      </c>
      <c r="AF38" s="28" t="str">
        <f t="shared" si="38"/>
        <v/>
      </c>
      <c r="AG38" s="28" t="str">
        <f t="shared" si="38"/>
        <v/>
      </c>
      <c r="AH38" s="28" t="str">
        <f t="shared" si="38"/>
        <v/>
      </c>
      <c r="AI38" s="28" t="str">
        <f t="shared" ref="AI38:BN38" si="39">IF(AH21&lt;保险期间,AI32*AI22,"")</f>
        <v/>
      </c>
      <c r="AJ38" s="28" t="str">
        <f t="shared" si="39"/>
        <v/>
      </c>
      <c r="AK38" s="28" t="str">
        <f t="shared" si="39"/>
        <v/>
      </c>
      <c r="AL38" s="28" t="str">
        <f t="shared" si="39"/>
        <v/>
      </c>
      <c r="AM38" s="28" t="str">
        <f t="shared" si="39"/>
        <v/>
      </c>
      <c r="AN38" s="28" t="str">
        <f t="shared" si="39"/>
        <v/>
      </c>
      <c r="AO38" s="28" t="str">
        <f t="shared" si="39"/>
        <v/>
      </c>
      <c r="AP38" s="28" t="str">
        <f t="shared" si="39"/>
        <v/>
      </c>
      <c r="AQ38" s="28" t="str">
        <f t="shared" si="39"/>
        <v/>
      </c>
      <c r="AR38" s="28" t="str">
        <f t="shared" si="39"/>
        <v/>
      </c>
      <c r="AS38" s="28" t="str">
        <f t="shared" si="39"/>
        <v/>
      </c>
      <c r="AT38" s="28" t="str">
        <f t="shared" si="39"/>
        <v/>
      </c>
      <c r="AU38" s="28" t="str">
        <f t="shared" si="39"/>
        <v/>
      </c>
      <c r="AV38" s="28" t="str">
        <f t="shared" si="39"/>
        <v/>
      </c>
      <c r="AW38" s="28" t="str">
        <f t="shared" si="39"/>
        <v/>
      </c>
      <c r="AX38" s="28" t="str">
        <f t="shared" si="39"/>
        <v/>
      </c>
      <c r="AY38" s="28" t="str">
        <f t="shared" si="39"/>
        <v/>
      </c>
      <c r="AZ38" s="28" t="str">
        <f t="shared" si="39"/>
        <v/>
      </c>
      <c r="BA38" s="28" t="str">
        <f t="shared" si="39"/>
        <v/>
      </c>
      <c r="BB38" s="28" t="str">
        <f t="shared" si="39"/>
        <v/>
      </c>
      <c r="BC38" s="28" t="str">
        <f t="shared" si="39"/>
        <v/>
      </c>
      <c r="BD38" s="28" t="str">
        <f t="shared" si="39"/>
        <v/>
      </c>
      <c r="BE38" s="28" t="str">
        <f t="shared" si="39"/>
        <v/>
      </c>
      <c r="BF38" s="28" t="str">
        <f t="shared" si="39"/>
        <v/>
      </c>
      <c r="BG38" s="28" t="str">
        <f t="shared" si="39"/>
        <v/>
      </c>
      <c r="BH38" s="28" t="str">
        <f t="shared" si="39"/>
        <v/>
      </c>
      <c r="BI38" s="28" t="str">
        <f t="shared" si="39"/>
        <v/>
      </c>
      <c r="BJ38" s="28" t="str">
        <f t="shared" si="39"/>
        <v/>
      </c>
      <c r="BK38" s="28" t="str">
        <f t="shared" si="39"/>
        <v/>
      </c>
      <c r="BL38" s="28" t="str">
        <f t="shared" si="39"/>
        <v/>
      </c>
      <c r="BM38" s="28" t="str">
        <f t="shared" si="39"/>
        <v/>
      </c>
      <c r="BN38" s="28" t="str">
        <f t="shared" si="39"/>
        <v/>
      </c>
      <c r="BO38" s="28" t="str">
        <f t="shared" ref="BO38:CF38" si="40">IF(BN21&lt;保险期间,BO32*BO22,"")</f>
        <v/>
      </c>
      <c r="BP38" s="28" t="str">
        <f t="shared" si="40"/>
        <v/>
      </c>
      <c r="BQ38" s="28" t="str">
        <f t="shared" si="40"/>
        <v/>
      </c>
      <c r="BR38" s="28" t="str">
        <f t="shared" si="40"/>
        <v/>
      </c>
      <c r="BS38" s="28" t="str">
        <f t="shared" si="40"/>
        <v/>
      </c>
      <c r="BT38" s="28" t="str">
        <f t="shared" si="40"/>
        <v/>
      </c>
      <c r="BU38" s="28" t="str">
        <f t="shared" si="40"/>
        <v/>
      </c>
      <c r="BV38" s="28" t="str">
        <f t="shared" si="40"/>
        <v/>
      </c>
      <c r="BW38" s="28" t="str">
        <f t="shared" si="40"/>
        <v/>
      </c>
      <c r="BX38" s="28" t="str">
        <f t="shared" si="40"/>
        <v/>
      </c>
      <c r="BY38" s="28" t="str">
        <f t="shared" si="40"/>
        <v/>
      </c>
      <c r="BZ38" s="28" t="str">
        <f t="shared" si="40"/>
        <v/>
      </c>
      <c r="CA38" s="28" t="str">
        <f t="shared" si="40"/>
        <v/>
      </c>
      <c r="CB38" s="28" t="str">
        <f t="shared" si="40"/>
        <v/>
      </c>
      <c r="CC38" s="28" t="str">
        <f t="shared" si="40"/>
        <v/>
      </c>
      <c r="CD38" s="28" t="str">
        <f t="shared" si="40"/>
        <v/>
      </c>
      <c r="CE38" s="28" t="str">
        <f t="shared" si="40"/>
        <v/>
      </c>
      <c r="CF38" s="28" t="str">
        <f t="shared" si="40"/>
        <v/>
      </c>
    </row>
    <row r="39" spans="1:84">
      <c r="A39" s="10" t="s">
        <v>31</v>
      </c>
      <c r="B39" s="28">
        <f>B38*保额</f>
        <v>52030</v>
      </c>
      <c r="C39" s="28">
        <f t="shared" ref="C39:AH39" si="41">IF(B21&lt;保险期间,C38*保额,"")</f>
        <v>57141.139679999993</v>
      </c>
      <c r="D39" s="28">
        <f t="shared" si="41"/>
        <v>63568.357085276642</v>
      </c>
      <c r="E39" s="28">
        <f t="shared" si="41"/>
        <v>71345.911253484097</v>
      </c>
      <c r="F39" s="28">
        <f t="shared" si="41"/>
        <v>80281.42117741362</v>
      </c>
      <c r="G39" s="28">
        <f t="shared" si="41"/>
        <v>90109.171719696038</v>
      </c>
      <c r="H39" s="28">
        <f t="shared" si="41"/>
        <v>100552.14675039252</v>
      </c>
      <c r="I39" s="28">
        <f t="shared" si="41"/>
        <v>111419.96434936443</v>
      </c>
      <c r="J39" s="28">
        <f t="shared" si="41"/>
        <v>122709.16776560343</v>
      </c>
      <c r="K39" s="28">
        <f t="shared" si="41"/>
        <v>134525.75483742135</v>
      </c>
      <c r="L39" s="28" t="str">
        <f t="shared" si="41"/>
        <v/>
      </c>
      <c r="M39" s="28" t="str">
        <f t="shared" si="41"/>
        <v/>
      </c>
      <c r="N39" s="28" t="str">
        <f t="shared" si="41"/>
        <v/>
      </c>
      <c r="O39" s="28" t="str">
        <f t="shared" si="41"/>
        <v/>
      </c>
      <c r="P39" s="28" t="str">
        <f t="shared" si="41"/>
        <v/>
      </c>
      <c r="Q39" s="28" t="str">
        <f t="shared" si="41"/>
        <v/>
      </c>
      <c r="R39" s="28" t="str">
        <f t="shared" si="41"/>
        <v/>
      </c>
      <c r="S39" s="28" t="str">
        <f t="shared" si="41"/>
        <v/>
      </c>
      <c r="T39" s="28" t="str">
        <f t="shared" si="41"/>
        <v/>
      </c>
      <c r="U39" s="28" t="str">
        <f t="shared" si="41"/>
        <v/>
      </c>
      <c r="V39" s="28" t="str">
        <f t="shared" si="41"/>
        <v/>
      </c>
      <c r="W39" s="28" t="str">
        <f t="shared" si="41"/>
        <v/>
      </c>
      <c r="X39" s="28" t="str">
        <f t="shared" si="41"/>
        <v/>
      </c>
      <c r="Y39" s="28" t="str">
        <f t="shared" si="41"/>
        <v/>
      </c>
      <c r="Z39" s="28" t="str">
        <f t="shared" si="41"/>
        <v/>
      </c>
      <c r="AA39" s="28" t="str">
        <f t="shared" si="41"/>
        <v/>
      </c>
      <c r="AB39" s="28" t="str">
        <f t="shared" si="41"/>
        <v/>
      </c>
      <c r="AC39" s="28" t="str">
        <f t="shared" si="41"/>
        <v/>
      </c>
      <c r="AD39" s="28" t="str">
        <f t="shared" si="41"/>
        <v/>
      </c>
      <c r="AE39" s="28" t="str">
        <f t="shared" si="41"/>
        <v/>
      </c>
      <c r="AF39" s="28" t="str">
        <f t="shared" si="41"/>
        <v/>
      </c>
      <c r="AG39" s="28" t="str">
        <f t="shared" si="41"/>
        <v/>
      </c>
      <c r="AH39" s="28" t="str">
        <f t="shared" si="41"/>
        <v/>
      </c>
      <c r="AI39" s="28" t="str">
        <f t="shared" ref="AI39:BN39" si="42">IF(AH21&lt;保险期间,AI38*保额,"")</f>
        <v/>
      </c>
      <c r="AJ39" s="28" t="str">
        <f t="shared" si="42"/>
        <v/>
      </c>
      <c r="AK39" s="28" t="str">
        <f t="shared" si="42"/>
        <v/>
      </c>
      <c r="AL39" s="28" t="str">
        <f t="shared" si="42"/>
        <v/>
      </c>
      <c r="AM39" s="28" t="str">
        <f t="shared" si="42"/>
        <v/>
      </c>
      <c r="AN39" s="28" t="str">
        <f t="shared" si="42"/>
        <v/>
      </c>
      <c r="AO39" s="28" t="str">
        <f t="shared" si="42"/>
        <v/>
      </c>
      <c r="AP39" s="28" t="str">
        <f t="shared" si="42"/>
        <v/>
      </c>
      <c r="AQ39" s="28" t="str">
        <f t="shared" si="42"/>
        <v/>
      </c>
      <c r="AR39" s="28" t="str">
        <f t="shared" si="42"/>
        <v/>
      </c>
      <c r="AS39" s="28" t="str">
        <f t="shared" si="42"/>
        <v/>
      </c>
      <c r="AT39" s="28" t="str">
        <f t="shared" si="42"/>
        <v/>
      </c>
      <c r="AU39" s="28" t="str">
        <f t="shared" si="42"/>
        <v/>
      </c>
      <c r="AV39" s="28" t="str">
        <f t="shared" si="42"/>
        <v/>
      </c>
      <c r="AW39" s="28" t="str">
        <f t="shared" si="42"/>
        <v/>
      </c>
      <c r="AX39" s="28" t="str">
        <f t="shared" si="42"/>
        <v/>
      </c>
      <c r="AY39" s="28" t="str">
        <f t="shared" si="42"/>
        <v/>
      </c>
      <c r="AZ39" s="28" t="str">
        <f t="shared" si="42"/>
        <v/>
      </c>
      <c r="BA39" s="28" t="str">
        <f t="shared" si="42"/>
        <v/>
      </c>
      <c r="BB39" s="28" t="str">
        <f t="shared" si="42"/>
        <v/>
      </c>
      <c r="BC39" s="28" t="str">
        <f t="shared" si="42"/>
        <v/>
      </c>
      <c r="BD39" s="28" t="str">
        <f t="shared" si="42"/>
        <v/>
      </c>
      <c r="BE39" s="28" t="str">
        <f t="shared" si="42"/>
        <v/>
      </c>
      <c r="BF39" s="28" t="str">
        <f t="shared" si="42"/>
        <v/>
      </c>
      <c r="BG39" s="28" t="str">
        <f t="shared" si="42"/>
        <v/>
      </c>
      <c r="BH39" s="28" t="str">
        <f t="shared" si="42"/>
        <v/>
      </c>
      <c r="BI39" s="28" t="str">
        <f t="shared" si="42"/>
        <v/>
      </c>
      <c r="BJ39" s="28" t="str">
        <f t="shared" si="42"/>
        <v/>
      </c>
      <c r="BK39" s="28" t="str">
        <f t="shared" si="42"/>
        <v/>
      </c>
      <c r="BL39" s="28" t="str">
        <f t="shared" si="42"/>
        <v/>
      </c>
      <c r="BM39" s="28" t="str">
        <f t="shared" si="42"/>
        <v/>
      </c>
      <c r="BN39" s="28" t="str">
        <f t="shared" si="42"/>
        <v/>
      </c>
      <c r="BO39" s="28" t="str">
        <f t="shared" ref="BO39:CF39" si="43">IF(BN21&lt;保险期间,BO38*保额,"")</f>
        <v/>
      </c>
      <c r="BP39" s="28" t="str">
        <f t="shared" si="43"/>
        <v/>
      </c>
      <c r="BQ39" s="28" t="str">
        <f t="shared" si="43"/>
        <v/>
      </c>
      <c r="BR39" s="28" t="str">
        <f t="shared" si="43"/>
        <v/>
      </c>
      <c r="BS39" s="28" t="str">
        <f t="shared" si="43"/>
        <v/>
      </c>
      <c r="BT39" s="28" t="str">
        <f t="shared" si="43"/>
        <v/>
      </c>
      <c r="BU39" s="28" t="str">
        <f t="shared" si="43"/>
        <v/>
      </c>
      <c r="BV39" s="28" t="str">
        <f t="shared" si="43"/>
        <v/>
      </c>
      <c r="BW39" s="28" t="str">
        <f t="shared" si="43"/>
        <v/>
      </c>
      <c r="BX39" s="28" t="str">
        <f t="shared" si="43"/>
        <v/>
      </c>
      <c r="BY39" s="28" t="str">
        <f t="shared" si="43"/>
        <v/>
      </c>
      <c r="BZ39" s="28" t="str">
        <f t="shared" si="43"/>
        <v/>
      </c>
      <c r="CA39" s="28" t="str">
        <f t="shared" si="43"/>
        <v/>
      </c>
      <c r="CB39" s="28" t="str">
        <f t="shared" si="43"/>
        <v/>
      </c>
      <c r="CC39" s="28" t="str">
        <f t="shared" si="43"/>
        <v/>
      </c>
      <c r="CD39" s="28" t="str">
        <f t="shared" si="43"/>
        <v/>
      </c>
      <c r="CE39" s="28" t="str">
        <f t="shared" si="43"/>
        <v/>
      </c>
      <c r="CF39" s="28" t="str">
        <f t="shared" si="43"/>
        <v/>
      </c>
    </row>
    <row r="40" spans="1:84">
      <c r="A40" s="10" t="s">
        <v>32</v>
      </c>
      <c r="B40" s="28">
        <f>B32-B38</f>
        <v>9947.9699999999993</v>
      </c>
      <c r="C40" s="28">
        <f t="shared" ref="C40:AH40" si="44">IF(B21&lt;保险期间,C32-C38,"")</f>
        <v>9890.8288603199999</v>
      </c>
      <c r="D40" s="28">
        <f t="shared" si="44"/>
        <v>9827.2605032347237</v>
      </c>
      <c r="E40" s="28">
        <f t="shared" si="44"/>
        <v>9755.9145919812399</v>
      </c>
      <c r="F40" s="28">
        <f t="shared" si="44"/>
        <v>9675.6331708038269</v>
      </c>
      <c r="G40" s="28">
        <f t="shared" si="44"/>
        <v>9585.523999084131</v>
      </c>
      <c r="H40" s="28">
        <f t="shared" si="44"/>
        <v>9484.9718523337378</v>
      </c>
      <c r="I40" s="28">
        <f t="shared" si="44"/>
        <v>9373.551887984373</v>
      </c>
      <c r="J40" s="28">
        <f t="shared" si="44"/>
        <v>9250.8427202187704</v>
      </c>
      <c r="K40" s="28">
        <f t="shared" si="44"/>
        <v>9116.3169653813493</v>
      </c>
      <c r="L40" s="28" t="str">
        <f t="shared" si="44"/>
        <v/>
      </c>
      <c r="M40" s="28" t="str">
        <f t="shared" si="44"/>
        <v/>
      </c>
      <c r="N40" s="28" t="str">
        <f t="shared" si="44"/>
        <v/>
      </c>
      <c r="O40" s="28" t="str">
        <f t="shared" si="44"/>
        <v/>
      </c>
      <c r="P40" s="28" t="str">
        <f t="shared" si="44"/>
        <v/>
      </c>
      <c r="Q40" s="28" t="str">
        <f t="shared" si="44"/>
        <v/>
      </c>
      <c r="R40" s="28" t="str">
        <f t="shared" si="44"/>
        <v/>
      </c>
      <c r="S40" s="28" t="str">
        <f t="shared" si="44"/>
        <v/>
      </c>
      <c r="T40" s="28" t="str">
        <f t="shared" si="44"/>
        <v/>
      </c>
      <c r="U40" s="28" t="str">
        <f t="shared" si="44"/>
        <v/>
      </c>
      <c r="V40" s="28" t="str">
        <f t="shared" si="44"/>
        <v/>
      </c>
      <c r="W40" s="28" t="str">
        <f t="shared" si="44"/>
        <v/>
      </c>
      <c r="X40" s="28" t="str">
        <f t="shared" si="44"/>
        <v/>
      </c>
      <c r="Y40" s="28" t="str">
        <f t="shared" si="44"/>
        <v/>
      </c>
      <c r="Z40" s="28" t="str">
        <f t="shared" si="44"/>
        <v/>
      </c>
      <c r="AA40" s="28" t="str">
        <f t="shared" si="44"/>
        <v/>
      </c>
      <c r="AB40" s="28" t="str">
        <f t="shared" si="44"/>
        <v/>
      </c>
      <c r="AC40" s="28" t="str">
        <f t="shared" si="44"/>
        <v/>
      </c>
      <c r="AD40" s="28" t="str">
        <f t="shared" si="44"/>
        <v/>
      </c>
      <c r="AE40" s="28" t="str">
        <f t="shared" si="44"/>
        <v/>
      </c>
      <c r="AF40" s="28" t="str">
        <f t="shared" si="44"/>
        <v/>
      </c>
      <c r="AG40" s="28" t="str">
        <f t="shared" si="44"/>
        <v/>
      </c>
      <c r="AH40" s="28" t="str">
        <f t="shared" si="44"/>
        <v/>
      </c>
      <c r="AI40" s="28" t="str">
        <f t="shared" ref="AI40:BN40" si="45">IF(AH21&lt;保险期间,AI32-AI38,"")</f>
        <v/>
      </c>
      <c r="AJ40" s="28" t="str">
        <f t="shared" si="45"/>
        <v/>
      </c>
      <c r="AK40" s="28" t="str">
        <f t="shared" si="45"/>
        <v/>
      </c>
      <c r="AL40" s="28" t="str">
        <f t="shared" si="45"/>
        <v/>
      </c>
      <c r="AM40" s="28" t="str">
        <f t="shared" si="45"/>
        <v/>
      </c>
      <c r="AN40" s="28" t="str">
        <f t="shared" si="45"/>
        <v/>
      </c>
      <c r="AO40" s="28" t="str">
        <f t="shared" si="45"/>
        <v/>
      </c>
      <c r="AP40" s="28" t="str">
        <f t="shared" si="45"/>
        <v/>
      </c>
      <c r="AQ40" s="28" t="str">
        <f t="shared" si="45"/>
        <v/>
      </c>
      <c r="AR40" s="28" t="str">
        <f t="shared" si="45"/>
        <v/>
      </c>
      <c r="AS40" s="28" t="str">
        <f t="shared" si="45"/>
        <v/>
      </c>
      <c r="AT40" s="28" t="str">
        <f t="shared" si="45"/>
        <v/>
      </c>
      <c r="AU40" s="28" t="str">
        <f t="shared" si="45"/>
        <v/>
      </c>
      <c r="AV40" s="28" t="str">
        <f t="shared" si="45"/>
        <v/>
      </c>
      <c r="AW40" s="28" t="str">
        <f t="shared" si="45"/>
        <v/>
      </c>
      <c r="AX40" s="28" t="str">
        <f t="shared" si="45"/>
        <v/>
      </c>
      <c r="AY40" s="28" t="str">
        <f t="shared" si="45"/>
        <v/>
      </c>
      <c r="AZ40" s="28" t="str">
        <f t="shared" si="45"/>
        <v/>
      </c>
      <c r="BA40" s="28" t="str">
        <f t="shared" si="45"/>
        <v/>
      </c>
      <c r="BB40" s="28" t="str">
        <f t="shared" si="45"/>
        <v/>
      </c>
      <c r="BC40" s="28" t="str">
        <f t="shared" si="45"/>
        <v/>
      </c>
      <c r="BD40" s="28" t="str">
        <f t="shared" si="45"/>
        <v/>
      </c>
      <c r="BE40" s="28" t="str">
        <f t="shared" si="45"/>
        <v/>
      </c>
      <c r="BF40" s="28" t="str">
        <f t="shared" si="45"/>
        <v/>
      </c>
      <c r="BG40" s="28" t="str">
        <f t="shared" si="45"/>
        <v/>
      </c>
      <c r="BH40" s="28" t="str">
        <f t="shared" si="45"/>
        <v/>
      </c>
      <c r="BI40" s="28" t="str">
        <f t="shared" si="45"/>
        <v/>
      </c>
      <c r="BJ40" s="28" t="str">
        <f t="shared" si="45"/>
        <v/>
      </c>
      <c r="BK40" s="28" t="str">
        <f t="shared" si="45"/>
        <v/>
      </c>
      <c r="BL40" s="28" t="str">
        <f t="shared" si="45"/>
        <v/>
      </c>
      <c r="BM40" s="28" t="str">
        <f t="shared" si="45"/>
        <v/>
      </c>
      <c r="BN40" s="28" t="str">
        <f t="shared" si="45"/>
        <v/>
      </c>
      <c r="BO40" s="28" t="str">
        <f t="shared" ref="BO40:CF40" si="46">IF(BN21&lt;保险期间,BO32-BO38,"")</f>
        <v/>
      </c>
      <c r="BP40" s="28" t="str">
        <f t="shared" si="46"/>
        <v/>
      </c>
      <c r="BQ40" s="28" t="str">
        <f t="shared" si="46"/>
        <v/>
      </c>
      <c r="BR40" s="28" t="str">
        <f t="shared" si="46"/>
        <v/>
      </c>
      <c r="BS40" s="28" t="str">
        <f t="shared" si="46"/>
        <v/>
      </c>
      <c r="BT40" s="28" t="str">
        <f t="shared" si="46"/>
        <v/>
      </c>
      <c r="BU40" s="28" t="str">
        <f t="shared" si="46"/>
        <v/>
      </c>
      <c r="BV40" s="28" t="str">
        <f t="shared" si="46"/>
        <v/>
      </c>
      <c r="BW40" s="28" t="str">
        <f t="shared" si="46"/>
        <v/>
      </c>
      <c r="BX40" s="28" t="str">
        <f t="shared" si="46"/>
        <v/>
      </c>
      <c r="BY40" s="28" t="str">
        <f t="shared" si="46"/>
        <v/>
      </c>
      <c r="BZ40" s="28" t="str">
        <f t="shared" si="46"/>
        <v/>
      </c>
      <c r="CA40" s="28" t="str">
        <f t="shared" si="46"/>
        <v/>
      </c>
      <c r="CB40" s="28" t="str">
        <f t="shared" si="46"/>
        <v/>
      </c>
      <c r="CC40" s="28" t="str">
        <f t="shared" si="46"/>
        <v/>
      </c>
      <c r="CD40" s="28" t="str">
        <f t="shared" si="46"/>
        <v/>
      </c>
      <c r="CE40" s="28" t="str">
        <f t="shared" si="46"/>
        <v/>
      </c>
      <c r="CF40" s="28" t="str">
        <f t="shared" si="46"/>
        <v/>
      </c>
    </row>
    <row r="41" spans="1:84">
      <c r="A41" s="10" t="s">
        <v>53</v>
      </c>
      <c r="B41" s="28">
        <f t="shared" ref="B41:AG41" si="47">IF(B30&lt;=保险期间,B25*B40*保额,"")</f>
        <v>0</v>
      </c>
      <c r="C41" s="28">
        <f t="shared" si="47"/>
        <v>0</v>
      </c>
      <c r="D41" s="28">
        <f t="shared" si="47"/>
        <v>0</v>
      </c>
      <c r="E41" s="28">
        <f t="shared" si="47"/>
        <v>0</v>
      </c>
      <c r="F41" s="28">
        <f t="shared" si="47"/>
        <v>0</v>
      </c>
      <c r="G41" s="28">
        <f t="shared" si="47"/>
        <v>0</v>
      </c>
      <c r="H41" s="28">
        <f t="shared" si="47"/>
        <v>0</v>
      </c>
      <c r="I41" s="28">
        <f t="shared" si="47"/>
        <v>0</v>
      </c>
      <c r="J41" s="28">
        <f t="shared" si="47"/>
        <v>0</v>
      </c>
      <c r="K41" s="28">
        <f t="shared" si="47"/>
        <v>0</v>
      </c>
      <c r="L41" s="28" t="str">
        <f t="shared" si="47"/>
        <v/>
      </c>
      <c r="M41" s="28" t="str">
        <f t="shared" si="47"/>
        <v/>
      </c>
      <c r="N41" s="28" t="str">
        <f t="shared" si="47"/>
        <v/>
      </c>
      <c r="O41" s="28" t="str">
        <f t="shared" si="47"/>
        <v/>
      </c>
      <c r="P41" s="28" t="str">
        <f t="shared" si="47"/>
        <v/>
      </c>
      <c r="Q41" s="28" t="str">
        <f t="shared" si="47"/>
        <v/>
      </c>
      <c r="R41" s="28" t="str">
        <f t="shared" si="47"/>
        <v/>
      </c>
      <c r="S41" s="28" t="str">
        <f t="shared" si="47"/>
        <v/>
      </c>
      <c r="T41" s="28" t="str">
        <f t="shared" si="47"/>
        <v/>
      </c>
      <c r="U41" s="28" t="str">
        <f t="shared" si="47"/>
        <v/>
      </c>
      <c r="V41" s="28" t="str">
        <f t="shared" si="47"/>
        <v/>
      </c>
      <c r="W41" s="28" t="str">
        <f t="shared" si="47"/>
        <v/>
      </c>
      <c r="X41" s="28" t="str">
        <f t="shared" si="47"/>
        <v/>
      </c>
      <c r="Y41" s="28" t="str">
        <f t="shared" si="47"/>
        <v/>
      </c>
      <c r="Z41" s="28" t="str">
        <f t="shared" si="47"/>
        <v/>
      </c>
      <c r="AA41" s="28" t="str">
        <f t="shared" si="47"/>
        <v/>
      </c>
      <c r="AB41" s="28" t="str">
        <f t="shared" si="47"/>
        <v/>
      </c>
      <c r="AC41" s="28" t="str">
        <f t="shared" si="47"/>
        <v/>
      </c>
      <c r="AD41" s="28" t="str">
        <f t="shared" si="47"/>
        <v/>
      </c>
      <c r="AE41" s="28" t="str">
        <f t="shared" si="47"/>
        <v/>
      </c>
      <c r="AF41" s="28" t="str">
        <f t="shared" si="47"/>
        <v/>
      </c>
      <c r="AG41" s="28" t="str">
        <f t="shared" si="47"/>
        <v/>
      </c>
      <c r="AH41" s="28" t="str">
        <f t="shared" ref="AH41:BM41" si="48">IF(AH30&lt;=保险期间,AH25*AH40*保额,"")</f>
        <v/>
      </c>
      <c r="AI41" s="28" t="str">
        <f t="shared" si="48"/>
        <v/>
      </c>
      <c r="AJ41" s="28" t="str">
        <f t="shared" si="48"/>
        <v/>
      </c>
      <c r="AK41" s="28" t="str">
        <f t="shared" si="48"/>
        <v/>
      </c>
      <c r="AL41" s="28" t="str">
        <f t="shared" si="48"/>
        <v/>
      </c>
      <c r="AM41" s="28" t="str">
        <f t="shared" si="48"/>
        <v/>
      </c>
      <c r="AN41" s="28" t="str">
        <f t="shared" si="48"/>
        <v/>
      </c>
      <c r="AO41" s="28" t="str">
        <f t="shared" si="48"/>
        <v/>
      </c>
      <c r="AP41" s="28" t="str">
        <f t="shared" si="48"/>
        <v/>
      </c>
      <c r="AQ41" s="28" t="str">
        <f t="shared" si="48"/>
        <v/>
      </c>
      <c r="AR41" s="28" t="str">
        <f t="shared" si="48"/>
        <v/>
      </c>
      <c r="AS41" s="28" t="str">
        <f t="shared" si="48"/>
        <v/>
      </c>
      <c r="AT41" s="28" t="str">
        <f t="shared" si="48"/>
        <v/>
      </c>
      <c r="AU41" s="28" t="str">
        <f t="shared" si="48"/>
        <v/>
      </c>
      <c r="AV41" s="28" t="str">
        <f t="shared" si="48"/>
        <v/>
      </c>
      <c r="AW41" s="28" t="str">
        <f t="shared" si="48"/>
        <v/>
      </c>
      <c r="AX41" s="28" t="str">
        <f t="shared" si="48"/>
        <v/>
      </c>
      <c r="AY41" s="28" t="str">
        <f t="shared" si="48"/>
        <v/>
      </c>
      <c r="AZ41" s="28" t="str">
        <f t="shared" si="48"/>
        <v/>
      </c>
      <c r="BA41" s="28" t="str">
        <f t="shared" si="48"/>
        <v/>
      </c>
      <c r="BB41" s="28" t="str">
        <f t="shared" si="48"/>
        <v/>
      </c>
      <c r="BC41" s="28" t="str">
        <f t="shared" si="48"/>
        <v/>
      </c>
      <c r="BD41" s="28" t="str">
        <f t="shared" si="48"/>
        <v/>
      </c>
      <c r="BE41" s="28" t="str">
        <f t="shared" si="48"/>
        <v/>
      </c>
      <c r="BF41" s="28" t="str">
        <f t="shared" si="48"/>
        <v/>
      </c>
      <c r="BG41" s="28" t="str">
        <f t="shared" si="48"/>
        <v/>
      </c>
      <c r="BH41" s="28" t="str">
        <f t="shared" si="48"/>
        <v/>
      </c>
      <c r="BI41" s="28" t="str">
        <f t="shared" si="48"/>
        <v/>
      </c>
      <c r="BJ41" s="28" t="str">
        <f t="shared" si="48"/>
        <v/>
      </c>
      <c r="BK41" s="28" t="str">
        <f t="shared" si="48"/>
        <v/>
      </c>
      <c r="BL41" s="28" t="str">
        <f t="shared" si="48"/>
        <v/>
      </c>
      <c r="BM41" s="28" t="str">
        <f t="shared" si="48"/>
        <v/>
      </c>
      <c r="BN41" s="28" t="str">
        <f t="shared" ref="BN41:CF41" si="49">IF(BN30&lt;=保险期间,BN25*BN40*保额,"")</f>
        <v/>
      </c>
      <c r="BO41" s="28" t="str">
        <f t="shared" si="49"/>
        <v/>
      </c>
      <c r="BP41" s="28" t="str">
        <f t="shared" si="49"/>
        <v/>
      </c>
      <c r="BQ41" s="28" t="str">
        <f t="shared" si="49"/>
        <v/>
      </c>
      <c r="BR41" s="28" t="str">
        <f t="shared" si="49"/>
        <v/>
      </c>
      <c r="BS41" s="28" t="str">
        <f t="shared" si="49"/>
        <v/>
      </c>
      <c r="BT41" s="28" t="str">
        <f t="shared" si="49"/>
        <v/>
      </c>
      <c r="BU41" s="28" t="str">
        <f t="shared" si="49"/>
        <v/>
      </c>
      <c r="BV41" s="28" t="str">
        <f t="shared" si="49"/>
        <v/>
      </c>
      <c r="BW41" s="28" t="str">
        <f t="shared" si="49"/>
        <v/>
      </c>
      <c r="BX41" s="28" t="str">
        <f t="shared" si="49"/>
        <v/>
      </c>
      <c r="BY41" s="28" t="str">
        <f t="shared" si="49"/>
        <v/>
      </c>
      <c r="BZ41" s="28" t="str">
        <f t="shared" si="49"/>
        <v/>
      </c>
      <c r="CA41" s="28" t="str">
        <f t="shared" si="49"/>
        <v/>
      </c>
      <c r="CB41" s="28" t="str">
        <f t="shared" si="49"/>
        <v/>
      </c>
      <c r="CC41" s="28" t="str">
        <f t="shared" si="49"/>
        <v/>
      </c>
      <c r="CD41" s="28" t="str">
        <f t="shared" si="49"/>
        <v/>
      </c>
      <c r="CE41" s="28" t="str">
        <f t="shared" si="49"/>
        <v/>
      </c>
      <c r="CF41" s="28" t="str">
        <f t="shared" si="49"/>
        <v/>
      </c>
    </row>
    <row r="42" spans="1:84">
      <c r="A42" s="10" t="s">
        <v>55</v>
      </c>
      <c r="B42" s="28">
        <f>B35+B36-B39</f>
        <v>-196955.44835612827</v>
      </c>
      <c r="C42" s="28">
        <f t="shared" ref="C42:AH42" si="50">IF(B21&lt;保险期间,C35+C36-C39,"")</f>
        <v>38205.711621459719</v>
      </c>
      <c r="D42" s="28">
        <f t="shared" si="50"/>
        <v>276962.16217864945</v>
      </c>
      <c r="E42" s="28">
        <f t="shared" si="50"/>
        <v>517948.11696220248</v>
      </c>
      <c r="F42" s="28">
        <f t="shared" si="50"/>
        <v>759880.86747844564</v>
      </c>
      <c r="G42" s="28">
        <f t="shared" si="50"/>
        <v>641729.54274193582</v>
      </c>
      <c r="H42" s="28">
        <f t="shared" si="50"/>
        <v>507842.67183489096</v>
      </c>
      <c r="I42" s="28">
        <f t="shared" si="50"/>
        <v>357079.90818509331</v>
      </c>
      <c r="J42" s="28">
        <f t="shared" si="50"/>
        <v>188250.24419325122</v>
      </c>
      <c r="K42" s="28">
        <f t="shared" si="50"/>
        <v>-6.9849193096160889E-10</v>
      </c>
      <c r="L42" s="28" t="str">
        <f t="shared" si="50"/>
        <v/>
      </c>
      <c r="M42" s="28" t="str">
        <f t="shared" si="50"/>
        <v/>
      </c>
      <c r="N42" s="28" t="str">
        <f t="shared" si="50"/>
        <v/>
      </c>
      <c r="O42" s="28" t="str">
        <f t="shared" si="50"/>
        <v/>
      </c>
      <c r="P42" s="28" t="str">
        <f t="shared" si="50"/>
        <v/>
      </c>
      <c r="Q42" s="28" t="str">
        <f t="shared" si="50"/>
        <v/>
      </c>
      <c r="R42" s="28" t="str">
        <f t="shared" si="50"/>
        <v/>
      </c>
      <c r="S42" s="28" t="str">
        <f t="shared" si="50"/>
        <v/>
      </c>
      <c r="T42" s="28" t="str">
        <f t="shared" si="50"/>
        <v/>
      </c>
      <c r="U42" s="28" t="str">
        <f t="shared" si="50"/>
        <v/>
      </c>
      <c r="V42" s="28" t="str">
        <f t="shared" si="50"/>
        <v/>
      </c>
      <c r="W42" s="28" t="str">
        <f t="shared" si="50"/>
        <v/>
      </c>
      <c r="X42" s="28" t="str">
        <f t="shared" si="50"/>
        <v/>
      </c>
      <c r="Y42" s="28" t="str">
        <f t="shared" si="50"/>
        <v/>
      </c>
      <c r="Z42" s="28" t="str">
        <f t="shared" si="50"/>
        <v/>
      </c>
      <c r="AA42" s="28" t="str">
        <f t="shared" si="50"/>
        <v/>
      </c>
      <c r="AB42" s="28" t="str">
        <f t="shared" si="50"/>
        <v/>
      </c>
      <c r="AC42" s="28" t="str">
        <f t="shared" si="50"/>
        <v/>
      </c>
      <c r="AD42" s="28" t="str">
        <f t="shared" si="50"/>
        <v/>
      </c>
      <c r="AE42" s="28" t="str">
        <f t="shared" si="50"/>
        <v/>
      </c>
      <c r="AF42" s="28" t="str">
        <f t="shared" si="50"/>
        <v/>
      </c>
      <c r="AG42" s="28" t="str">
        <f t="shared" si="50"/>
        <v/>
      </c>
      <c r="AH42" s="28" t="str">
        <f t="shared" si="50"/>
        <v/>
      </c>
      <c r="AI42" s="28" t="str">
        <f t="shared" ref="AI42:BN42" si="51">IF(AH21&lt;保险期间,AI35+AI36-AI39,"")</f>
        <v/>
      </c>
      <c r="AJ42" s="28" t="str">
        <f t="shared" si="51"/>
        <v/>
      </c>
      <c r="AK42" s="28" t="str">
        <f t="shared" si="51"/>
        <v/>
      </c>
      <c r="AL42" s="28" t="str">
        <f t="shared" si="51"/>
        <v/>
      </c>
      <c r="AM42" s="28" t="str">
        <f t="shared" si="51"/>
        <v/>
      </c>
      <c r="AN42" s="28" t="str">
        <f t="shared" si="51"/>
        <v/>
      </c>
      <c r="AO42" s="28" t="str">
        <f t="shared" si="51"/>
        <v/>
      </c>
      <c r="AP42" s="28" t="str">
        <f t="shared" si="51"/>
        <v/>
      </c>
      <c r="AQ42" s="28" t="str">
        <f t="shared" si="51"/>
        <v/>
      </c>
      <c r="AR42" s="28" t="str">
        <f t="shared" si="51"/>
        <v/>
      </c>
      <c r="AS42" s="28" t="str">
        <f t="shared" si="51"/>
        <v/>
      </c>
      <c r="AT42" s="28" t="str">
        <f t="shared" si="51"/>
        <v/>
      </c>
      <c r="AU42" s="28" t="str">
        <f t="shared" si="51"/>
        <v/>
      </c>
      <c r="AV42" s="28" t="str">
        <f t="shared" si="51"/>
        <v/>
      </c>
      <c r="AW42" s="28" t="str">
        <f t="shared" si="51"/>
        <v/>
      </c>
      <c r="AX42" s="28" t="str">
        <f t="shared" si="51"/>
        <v/>
      </c>
      <c r="AY42" s="28" t="str">
        <f t="shared" si="51"/>
        <v/>
      </c>
      <c r="AZ42" s="28" t="str">
        <f t="shared" si="51"/>
        <v/>
      </c>
      <c r="BA42" s="28" t="str">
        <f t="shared" si="51"/>
        <v/>
      </c>
      <c r="BB42" s="28" t="str">
        <f t="shared" si="51"/>
        <v/>
      </c>
      <c r="BC42" s="28" t="str">
        <f t="shared" si="51"/>
        <v/>
      </c>
      <c r="BD42" s="28" t="str">
        <f t="shared" si="51"/>
        <v/>
      </c>
      <c r="BE42" s="28" t="str">
        <f t="shared" si="51"/>
        <v/>
      </c>
      <c r="BF42" s="28" t="str">
        <f t="shared" si="51"/>
        <v/>
      </c>
      <c r="BG42" s="28" t="str">
        <f t="shared" si="51"/>
        <v/>
      </c>
      <c r="BH42" s="28" t="str">
        <f t="shared" si="51"/>
        <v/>
      </c>
      <c r="BI42" s="28" t="str">
        <f t="shared" si="51"/>
        <v/>
      </c>
      <c r="BJ42" s="28" t="str">
        <f t="shared" si="51"/>
        <v/>
      </c>
      <c r="BK42" s="28" t="str">
        <f t="shared" si="51"/>
        <v/>
      </c>
      <c r="BL42" s="28" t="str">
        <f t="shared" si="51"/>
        <v/>
      </c>
      <c r="BM42" s="28" t="str">
        <f t="shared" si="51"/>
        <v/>
      </c>
      <c r="BN42" s="28" t="str">
        <f t="shared" si="51"/>
        <v/>
      </c>
      <c r="BO42" s="28" t="str">
        <f t="shared" ref="BO42:CF42" si="52">IF(BN21&lt;保险期间,BO35+BO36-BO39,"")</f>
        <v/>
      </c>
      <c r="BP42" s="28" t="str">
        <f t="shared" si="52"/>
        <v/>
      </c>
      <c r="BQ42" s="28" t="str">
        <f t="shared" si="52"/>
        <v/>
      </c>
      <c r="BR42" s="28" t="str">
        <f t="shared" si="52"/>
        <v/>
      </c>
      <c r="BS42" s="28" t="str">
        <f t="shared" si="52"/>
        <v/>
      </c>
      <c r="BT42" s="28" t="str">
        <f t="shared" si="52"/>
        <v/>
      </c>
      <c r="BU42" s="28" t="str">
        <f t="shared" si="52"/>
        <v/>
      </c>
      <c r="BV42" s="28" t="str">
        <f t="shared" si="52"/>
        <v/>
      </c>
      <c r="BW42" s="28" t="str">
        <f t="shared" si="52"/>
        <v/>
      </c>
      <c r="BX42" s="28" t="str">
        <f t="shared" si="52"/>
        <v/>
      </c>
      <c r="BY42" s="28" t="str">
        <f t="shared" si="52"/>
        <v/>
      </c>
      <c r="BZ42" s="28" t="str">
        <f t="shared" si="52"/>
        <v/>
      </c>
      <c r="CA42" s="28" t="str">
        <f t="shared" si="52"/>
        <v/>
      </c>
      <c r="CB42" s="28" t="str">
        <f t="shared" si="52"/>
        <v/>
      </c>
      <c r="CC42" s="28" t="str">
        <f t="shared" si="52"/>
        <v/>
      </c>
      <c r="CD42" s="28" t="str">
        <f t="shared" si="52"/>
        <v/>
      </c>
      <c r="CE42" s="28" t="str">
        <f t="shared" si="52"/>
        <v/>
      </c>
      <c r="CF42" s="28" t="str">
        <f t="shared" si="52"/>
        <v/>
      </c>
    </row>
    <row r="43" spans="1:84">
      <c r="A43" s="10" t="s">
        <v>54</v>
      </c>
      <c r="B43" s="28">
        <f>B35+B36-B39-B41</f>
        <v>-196955.44835612827</v>
      </c>
      <c r="C43" s="28">
        <f t="shared" ref="C43:AH43" si="53">IF(B21&lt;保险期间,C35+C36-C39-C41,"")</f>
        <v>38205.711621459719</v>
      </c>
      <c r="D43" s="28">
        <f t="shared" si="53"/>
        <v>276962.16217864945</v>
      </c>
      <c r="E43" s="28">
        <f t="shared" si="53"/>
        <v>517948.11696220248</v>
      </c>
      <c r="F43" s="28">
        <f t="shared" si="53"/>
        <v>759880.86747844564</v>
      </c>
      <c r="G43" s="28">
        <f t="shared" si="53"/>
        <v>641729.54274193582</v>
      </c>
      <c r="H43" s="28">
        <f t="shared" si="53"/>
        <v>507842.67183489096</v>
      </c>
      <c r="I43" s="28">
        <f t="shared" si="53"/>
        <v>357079.90818509331</v>
      </c>
      <c r="J43" s="28">
        <f t="shared" si="53"/>
        <v>188250.24419325122</v>
      </c>
      <c r="K43" s="28">
        <f t="shared" si="53"/>
        <v>-6.9849193096160889E-10</v>
      </c>
      <c r="L43" s="28" t="str">
        <f t="shared" si="53"/>
        <v/>
      </c>
      <c r="M43" s="28" t="str">
        <f t="shared" si="53"/>
        <v/>
      </c>
      <c r="N43" s="28" t="str">
        <f t="shared" si="53"/>
        <v/>
      </c>
      <c r="O43" s="28" t="str">
        <f t="shared" si="53"/>
        <v/>
      </c>
      <c r="P43" s="28" t="str">
        <f t="shared" si="53"/>
        <v/>
      </c>
      <c r="Q43" s="28" t="str">
        <f t="shared" si="53"/>
        <v/>
      </c>
      <c r="R43" s="28" t="str">
        <f t="shared" si="53"/>
        <v/>
      </c>
      <c r="S43" s="28" t="str">
        <f t="shared" si="53"/>
        <v/>
      </c>
      <c r="T43" s="28" t="str">
        <f t="shared" si="53"/>
        <v/>
      </c>
      <c r="U43" s="28" t="str">
        <f t="shared" si="53"/>
        <v/>
      </c>
      <c r="V43" s="28" t="str">
        <f t="shared" si="53"/>
        <v/>
      </c>
      <c r="W43" s="28" t="str">
        <f t="shared" si="53"/>
        <v/>
      </c>
      <c r="X43" s="28" t="str">
        <f t="shared" si="53"/>
        <v/>
      </c>
      <c r="Y43" s="28" t="str">
        <f t="shared" si="53"/>
        <v/>
      </c>
      <c r="Z43" s="28" t="str">
        <f t="shared" si="53"/>
        <v/>
      </c>
      <c r="AA43" s="28" t="str">
        <f t="shared" si="53"/>
        <v/>
      </c>
      <c r="AB43" s="28" t="str">
        <f t="shared" si="53"/>
        <v/>
      </c>
      <c r="AC43" s="28" t="str">
        <f t="shared" si="53"/>
        <v/>
      </c>
      <c r="AD43" s="28" t="str">
        <f t="shared" si="53"/>
        <v/>
      </c>
      <c r="AE43" s="28" t="str">
        <f t="shared" si="53"/>
        <v/>
      </c>
      <c r="AF43" s="28" t="str">
        <f t="shared" si="53"/>
        <v/>
      </c>
      <c r="AG43" s="28" t="str">
        <f t="shared" si="53"/>
        <v/>
      </c>
      <c r="AH43" s="28" t="str">
        <f t="shared" si="53"/>
        <v/>
      </c>
      <c r="AI43" s="28" t="str">
        <f t="shared" ref="AI43:BN43" si="54">IF(AH21&lt;保险期间,AI35+AI36-AI39-AI41,"")</f>
        <v/>
      </c>
      <c r="AJ43" s="28" t="str">
        <f t="shared" si="54"/>
        <v/>
      </c>
      <c r="AK43" s="28" t="str">
        <f t="shared" si="54"/>
        <v/>
      </c>
      <c r="AL43" s="28" t="str">
        <f t="shared" si="54"/>
        <v/>
      </c>
      <c r="AM43" s="28" t="str">
        <f t="shared" si="54"/>
        <v/>
      </c>
      <c r="AN43" s="28" t="str">
        <f t="shared" si="54"/>
        <v/>
      </c>
      <c r="AO43" s="28" t="str">
        <f t="shared" si="54"/>
        <v/>
      </c>
      <c r="AP43" s="28" t="str">
        <f t="shared" si="54"/>
        <v/>
      </c>
      <c r="AQ43" s="28" t="str">
        <f t="shared" si="54"/>
        <v/>
      </c>
      <c r="AR43" s="28" t="str">
        <f t="shared" si="54"/>
        <v/>
      </c>
      <c r="AS43" s="28" t="str">
        <f t="shared" si="54"/>
        <v/>
      </c>
      <c r="AT43" s="28" t="str">
        <f t="shared" si="54"/>
        <v/>
      </c>
      <c r="AU43" s="28" t="str">
        <f t="shared" si="54"/>
        <v/>
      </c>
      <c r="AV43" s="28" t="str">
        <f t="shared" si="54"/>
        <v/>
      </c>
      <c r="AW43" s="28" t="str">
        <f t="shared" si="54"/>
        <v/>
      </c>
      <c r="AX43" s="28" t="str">
        <f t="shared" si="54"/>
        <v/>
      </c>
      <c r="AY43" s="28" t="str">
        <f t="shared" si="54"/>
        <v/>
      </c>
      <c r="AZ43" s="28" t="str">
        <f t="shared" si="54"/>
        <v/>
      </c>
      <c r="BA43" s="28" t="str">
        <f t="shared" si="54"/>
        <v/>
      </c>
      <c r="BB43" s="28" t="str">
        <f t="shared" si="54"/>
        <v/>
      </c>
      <c r="BC43" s="28" t="str">
        <f t="shared" si="54"/>
        <v/>
      </c>
      <c r="BD43" s="28" t="str">
        <f t="shared" si="54"/>
        <v/>
      </c>
      <c r="BE43" s="28" t="str">
        <f t="shared" si="54"/>
        <v/>
      </c>
      <c r="BF43" s="28" t="str">
        <f t="shared" si="54"/>
        <v/>
      </c>
      <c r="BG43" s="28" t="str">
        <f t="shared" si="54"/>
        <v/>
      </c>
      <c r="BH43" s="28" t="str">
        <f t="shared" si="54"/>
        <v/>
      </c>
      <c r="BI43" s="28" t="str">
        <f t="shared" si="54"/>
        <v/>
      </c>
      <c r="BJ43" s="28" t="str">
        <f t="shared" si="54"/>
        <v/>
      </c>
      <c r="BK43" s="28" t="str">
        <f t="shared" si="54"/>
        <v/>
      </c>
      <c r="BL43" s="28" t="str">
        <f t="shared" si="54"/>
        <v/>
      </c>
      <c r="BM43" s="28" t="str">
        <f t="shared" si="54"/>
        <v/>
      </c>
      <c r="BN43" s="28" t="str">
        <f t="shared" si="54"/>
        <v/>
      </c>
      <c r="BO43" s="28" t="str">
        <f t="shared" ref="BO43:CF43" si="55">IF(BN21&lt;保险期间,BO35+BO36-BO39-BO41,"")</f>
        <v/>
      </c>
      <c r="BP43" s="28" t="str">
        <f t="shared" si="55"/>
        <v/>
      </c>
      <c r="BQ43" s="28" t="str">
        <f t="shared" si="55"/>
        <v/>
      </c>
      <c r="BR43" s="28" t="str">
        <f t="shared" si="55"/>
        <v/>
      </c>
      <c r="BS43" s="28" t="str">
        <f t="shared" si="55"/>
        <v/>
      </c>
      <c r="BT43" s="28" t="str">
        <f t="shared" si="55"/>
        <v/>
      </c>
      <c r="BU43" s="28" t="str">
        <f t="shared" si="55"/>
        <v/>
      </c>
      <c r="BV43" s="28" t="str">
        <f t="shared" si="55"/>
        <v/>
      </c>
      <c r="BW43" s="28" t="str">
        <f t="shared" si="55"/>
        <v/>
      </c>
      <c r="BX43" s="28" t="str">
        <f t="shared" si="55"/>
        <v/>
      </c>
      <c r="BY43" s="28" t="str">
        <f t="shared" si="55"/>
        <v/>
      </c>
      <c r="BZ43" s="28" t="str">
        <f t="shared" si="55"/>
        <v/>
      </c>
      <c r="CA43" s="28" t="str">
        <f t="shared" si="55"/>
        <v/>
      </c>
      <c r="CB43" s="28" t="str">
        <f t="shared" si="55"/>
        <v/>
      </c>
      <c r="CC43" s="28" t="str">
        <f t="shared" si="55"/>
        <v/>
      </c>
      <c r="CD43" s="28" t="str">
        <f t="shared" si="55"/>
        <v/>
      </c>
      <c r="CE43" s="28" t="str">
        <f t="shared" si="55"/>
        <v/>
      </c>
      <c r="CF43" s="28" t="str">
        <f t="shared" si="55"/>
        <v/>
      </c>
    </row>
    <row r="44" spans="1:84">
      <c r="A44" s="10" t="s">
        <v>33</v>
      </c>
      <c r="B44" s="28">
        <f>B42/B40</f>
        <v>-19.798556726259555</v>
      </c>
      <c r="C44" s="28">
        <f t="shared" ref="C44:AH44" si="56">IF(B21&lt;保险期间,C42/C40,"")</f>
        <v>3.8627411474819153</v>
      </c>
      <c r="D44" s="28">
        <f t="shared" si="56"/>
        <v>28.183048784295998</v>
      </c>
      <c r="E44" s="28">
        <f t="shared" si="56"/>
        <v>53.090677668285849</v>
      </c>
      <c r="F44" s="28">
        <f t="shared" si="56"/>
        <v>78.535518457994272</v>
      </c>
      <c r="G44" s="28">
        <f t="shared" si="56"/>
        <v>66.947779047160196</v>
      </c>
      <c r="H44" s="28">
        <f t="shared" si="56"/>
        <v>53.541821709248232</v>
      </c>
      <c r="I44" s="28">
        <f t="shared" si="56"/>
        <v>38.094407803174541</v>
      </c>
      <c r="J44" s="28">
        <f t="shared" si="56"/>
        <v>20.349523809523738</v>
      </c>
      <c r="K44" s="28">
        <f t="shared" si="56"/>
        <v>-7.6619969842436241E-14</v>
      </c>
      <c r="L44" s="28" t="str">
        <f t="shared" si="56"/>
        <v/>
      </c>
      <c r="M44" s="28" t="str">
        <f t="shared" si="56"/>
        <v/>
      </c>
      <c r="N44" s="28" t="str">
        <f t="shared" si="56"/>
        <v/>
      </c>
      <c r="O44" s="28" t="str">
        <f t="shared" si="56"/>
        <v/>
      </c>
      <c r="P44" s="28" t="str">
        <f t="shared" si="56"/>
        <v/>
      </c>
      <c r="Q44" s="28" t="str">
        <f t="shared" si="56"/>
        <v/>
      </c>
      <c r="R44" s="28" t="str">
        <f t="shared" si="56"/>
        <v/>
      </c>
      <c r="S44" s="28" t="str">
        <f t="shared" si="56"/>
        <v/>
      </c>
      <c r="T44" s="28" t="str">
        <f t="shared" si="56"/>
        <v/>
      </c>
      <c r="U44" s="28" t="str">
        <f t="shared" si="56"/>
        <v/>
      </c>
      <c r="V44" s="28" t="str">
        <f t="shared" si="56"/>
        <v/>
      </c>
      <c r="W44" s="28" t="str">
        <f t="shared" si="56"/>
        <v/>
      </c>
      <c r="X44" s="28" t="str">
        <f t="shared" si="56"/>
        <v/>
      </c>
      <c r="Y44" s="28" t="str">
        <f t="shared" si="56"/>
        <v/>
      </c>
      <c r="Z44" s="28" t="str">
        <f t="shared" si="56"/>
        <v/>
      </c>
      <c r="AA44" s="28" t="str">
        <f t="shared" si="56"/>
        <v/>
      </c>
      <c r="AB44" s="28" t="str">
        <f t="shared" si="56"/>
        <v/>
      </c>
      <c r="AC44" s="28" t="str">
        <f t="shared" si="56"/>
        <v/>
      </c>
      <c r="AD44" s="28" t="str">
        <f t="shared" si="56"/>
        <v/>
      </c>
      <c r="AE44" s="28" t="str">
        <f t="shared" si="56"/>
        <v/>
      </c>
      <c r="AF44" s="28" t="str">
        <f t="shared" si="56"/>
        <v/>
      </c>
      <c r="AG44" s="28" t="str">
        <f t="shared" si="56"/>
        <v/>
      </c>
      <c r="AH44" s="28" t="str">
        <f t="shared" si="56"/>
        <v/>
      </c>
      <c r="AI44" s="28" t="str">
        <f t="shared" ref="AI44:BN44" si="57">IF(AH21&lt;保险期间,AI42/AI40,"")</f>
        <v/>
      </c>
      <c r="AJ44" s="28" t="str">
        <f t="shared" si="57"/>
        <v/>
      </c>
      <c r="AK44" s="28" t="str">
        <f t="shared" si="57"/>
        <v/>
      </c>
      <c r="AL44" s="28" t="str">
        <f t="shared" si="57"/>
        <v/>
      </c>
      <c r="AM44" s="28" t="str">
        <f t="shared" si="57"/>
        <v/>
      </c>
      <c r="AN44" s="28" t="str">
        <f t="shared" si="57"/>
        <v/>
      </c>
      <c r="AO44" s="28" t="str">
        <f t="shared" si="57"/>
        <v/>
      </c>
      <c r="AP44" s="28" t="str">
        <f t="shared" si="57"/>
        <v/>
      </c>
      <c r="AQ44" s="28" t="str">
        <f t="shared" si="57"/>
        <v/>
      </c>
      <c r="AR44" s="28" t="str">
        <f t="shared" si="57"/>
        <v/>
      </c>
      <c r="AS44" s="28" t="str">
        <f t="shared" si="57"/>
        <v/>
      </c>
      <c r="AT44" s="28" t="str">
        <f t="shared" si="57"/>
        <v/>
      </c>
      <c r="AU44" s="28" t="str">
        <f t="shared" si="57"/>
        <v/>
      </c>
      <c r="AV44" s="28" t="str">
        <f t="shared" si="57"/>
        <v/>
      </c>
      <c r="AW44" s="28" t="str">
        <f t="shared" si="57"/>
        <v/>
      </c>
      <c r="AX44" s="28" t="str">
        <f t="shared" si="57"/>
        <v/>
      </c>
      <c r="AY44" s="28" t="str">
        <f t="shared" si="57"/>
        <v/>
      </c>
      <c r="AZ44" s="28" t="str">
        <f t="shared" si="57"/>
        <v/>
      </c>
      <c r="BA44" s="28" t="str">
        <f t="shared" si="57"/>
        <v/>
      </c>
      <c r="BB44" s="28" t="str">
        <f t="shared" si="57"/>
        <v/>
      </c>
      <c r="BC44" s="28" t="str">
        <f t="shared" si="57"/>
        <v/>
      </c>
      <c r="BD44" s="28" t="str">
        <f t="shared" si="57"/>
        <v/>
      </c>
      <c r="BE44" s="28" t="str">
        <f t="shared" si="57"/>
        <v/>
      </c>
      <c r="BF44" s="28" t="str">
        <f t="shared" si="57"/>
        <v/>
      </c>
      <c r="BG44" s="28" t="str">
        <f t="shared" si="57"/>
        <v/>
      </c>
      <c r="BH44" s="28" t="str">
        <f t="shared" si="57"/>
        <v/>
      </c>
      <c r="BI44" s="28" t="str">
        <f t="shared" si="57"/>
        <v/>
      </c>
      <c r="BJ44" s="28" t="str">
        <f t="shared" si="57"/>
        <v/>
      </c>
      <c r="BK44" s="28" t="str">
        <f t="shared" si="57"/>
        <v/>
      </c>
      <c r="BL44" s="28" t="str">
        <f t="shared" si="57"/>
        <v/>
      </c>
      <c r="BM44" s="28" t="str">
        <f t="shared" si="57"/>
        <v/>
      </c>
      <c r="BN44" s="28" t="str">
        <f t="shared" si="57"/>
        <v/>
      </c>
      <c r="BO44" s="28" t="str">
        <f t="shared" ref="BO44:CF44" si="58">IF(BN21&lt;保险期间,BO42/BO40,"")</f>
        <v/>
      </c>
      <c r="BP44" s="28" t="str">
        <f t="shared" si="58"/>
        <v/>
      </c>
      <c r="BQ44" s="28" t="str">
        <f t="shared" si="58"/>
        <v/>
      </c>
      <c r="BR44" s="28" t="str">
        <f t="shared" si="58"/>
        <v/>
      </c>
      <c r="BS44" s="28" t="str">
        <f t="shared" si="58"/>
        <v/>
      </c>
      <c r="BT44" s="28" t="str">
        <f t="shared" si="58"/>
        <v/>
      </c>
      <c r="BU44" s="28" t="str">
        <f t="shared" si="58"/>
        <v/>
      </c>
      <c r="BV44" s="28" t="str">
        <f t="shared" si="58"/>
        <v/>
      </c>
      <c r="BW44" s="28" t="str">
        <f t="shared" si="58"/>
        <v/>
      </c>
      <c r="BX44" s="28" t="str">
        <f t="shared" si="58"/>
        <v/>
      </c>
      <c r="BY44" s="28" t="str">
        <f t="shared" si="58"/>
        <v/>
      </c>
      <c r="BZ44" s="28" t="str">
        <f t="shared" si="58"/>
        <v/>
      </c>
      <c r="CA44" s="28" t="str">
        <f t="shared" si="58"/>
        <v/>
      </c>
      <c r="CB44" s="28" t="str">
        <f t="shared" si="58"/>
        <v/>
      </c>
      <c r="CC44" s="28" t="str">
        <f t="shared" si="58"/>
        <v/>
      </c>
      <c r="CD44" s="28" t="str">
        <f t="shared" si="58"/>
        <v/>
      </c>
      <c r="CE44" s="28" t="str">
        <f t="shared" si="58"/>
        <v/>
      </c>
      <c r="CF44" s="28" t="str">
        <f t="shared" si="58"/>
        <v/>
      </c>
    </row>
    <row r="46" spans="1:84">
      <c r="A46" s="10" t="s">
        <v>35</v>
      </c>
    </row>
    <row r="47" spans="1:84">
      <c r="A47" s="10" t="s">
        <v>36</v>
      </c>
    </row>
    <row r="48" spans="1:84">
      <c r="A48" s="10" t="s">
        <v>37</v>
      </c>
    </row>
    <row r="49" spans="1:6">
      <c r="A49" s="10" t="s">
        <v>38</v>
      </c>
    </row>
    <row r="50" spans="1:6">
      <c r="B50" s="10">
        <f>B37/B32-B44</f>
        <v>5.3060118906467277</v>
      </c>
      <c r="C50" s="10">
        <f t="shared" ref="C50:F50" si="59">C37/C32-C44</f>
        <v>5.7218124148488636</v>
      </c>
      <c r="D50" s="10">
        <f t="shared" si="59"/>
        <v>6.2458675454633266</v>
      </c>
      <c r="E50" s="10">
        <f t="shared" si="59"/>
        <v>6.8745616801282452</v>
      </c>
      <c r="F50" s="10">
        <f t="shared" si="59"/>
        <v>7.5827312186091831</v>
      </c>
    </row>
    <row r="58" spans="1:6">
      <c r="C58" s="16"/>
      <c r="D58" s="16" t="s">
        <v>40</v>
      </c>
      <c r="E58" s="16"/>
      <c r="F58" s="16"/>
    </row>
    <row r="59" spans="1:6">
      <c r="C59" s="17" t="s">
        <v>39</v>
      </c>
      <c r="D59" s="17">
        <v>1</v>
      </c>
      <c r="E59" s="17">
        <v>3</v>
      </c>
      <c r="F59" s="17">
        <v>5</v>
      </c>
    </row>
    <row r="60" spans="1:6">
      <c r="C60" s="17">
        <v>25</v>
      </c>
      <c r="D60" s="16">
        <v>2.7537850032073639</v>
      </c>
      <c r="E60" s="16">
        <v>0.96363128503932161</v>
      </c>
      <c r="F60" s="16">
        <v>0.60648371423568881</v>
      </c>
    </row>
    <row r="61" spans="1:6">
      <c r="C61" s="17">
        <v>30</v>
      </c>
      <c r="D61" s="16">
        <v>3.4262709525463597</v>
      </c>
      <c r="E61" s="16">
        <v>1.1990767964621396</v>
      </c>
      <c r="F61" s="16">
        <v>0.75477053076307354</v>
      </c>
    </row>
    <row r="62" spans="1:6">
      <c r="C62" s="17">
        <v>35</v>
      </c>
      <c r="D62" s="16">
        <v>4.7344684510434671</v>
      </c>
      <c r="E62" s="16">
        <v>1.6573150204117204</v>
      </c>
      <c r="F62" s="16">
        <v>1.0434978183767163</v>
      </c>
    </row>
    <row r="63" spans="1:6">
      <c r="C63" s="17">
        <v>40</v>
      </c>
      <c r="D63" s="16">
        <v>6.7960450940301458</v>
      </c>
      <c r="E63" s="16">
        <v>2.3799656200236403</v>
      </c>
      <c r="F63" s="16">
        <v>1.4991661072377718</v>
      </c>
    </row>
    <row r="64" spans="1:6">
      <c r="C64" s="17">
        <v>45</v>
      </c>
      <c r="D64" s="16">
        <v>9.6881512449707916</v>
      </c>
      <c r="E64" s="16">
        <v>3.3946563652978554</v>
      </c>
      <c r="F64" s="16">
        <v>2.1396223895091597</v>
      </c>
    </row>
    <row r="65" spans="3:6">
      <c r="C65" s="17">
        <v>50</v>
      </c>
      <c r="D65" s="16">
        <v>14.190333709292414</v>
      </c>
      <c r="E65" s="16">
        <v>4.9767656246960721</v>
      </c>
      <c r="F65" s="16">
        <v>3.1398498355747995</v>
      </c>
    </row>
    <row r="66" spans="3:6">
      <c r="C66" s="17">
        <v>55</v>
      </c>
      <c r="D66" s="16">
        <v>22.286869503919053</v>
      </c>
      <c r="E66" s="16">
        <v>7.8267643542362286</v>
      </c>
      <c r="F66" s="16">
        <v>4.9460269293121657</v>
      </c>
    </row>
    <row r="67" spans="3:6">
      <c r="C67" s="17">
        <v>60</v>
      </c>
      <c r="D67" s="16">
        <v>39.834956392738562</v>
      </c>
      <c r="E67" s="16">
        <v>14.036267912625197</v>
      </c>
      <c r="F67" s="16">
        <v>8.9037971663117652</v>
      </c>
    </row>
  </sheetData>
  <phoneticPr fontId="4" type="noConversion"/>
  <pageMargins left="0.7" right="0.7" top="0.75" bottom="0.75" header="0.3" footer="0.3"/>
  <pageSetup paperSize="0" orientation="portrait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outlinePr summaryBelow="0" summaryRight="0"/>
  </sheetPr>
  <dimension ref="A1:CK43"/>
  <sheetViews>
    <sheetView topLeftCell="A22" zoomScale="110" zoomScaleNormal="110" workbookViewId="0">
      <selection activeCell="C29" sqref="C29"/>
    </sheetView>
  </sheetViews>
  <sheetFormatPr defaultRowHeight="14.25" outlineLevelRow="1"/>
  <cols>
    <col min="1" max="1" width="25.375" style="10" customWidth="1"/>
    <col min="2" max="2" width="17.875" style="10" customWidth="1"/>
    <col min="3" max="3" width="17.25" style="10" customWidth="1"/>
    <col min="4" max="4" width="15.125" style="10" customWidth="1"/>
    <col min="5" max="10" width="16.125" style="10" bestFit="1" customWidth="1"/>
    <col min="11" max="11" width="17.25" style="10" bestFit="1" customWidth="1"/>
    <col min="12" max="256" width="9" style="10"/>
    <col min="257" max="257" width="12.75" style="10" customWidth="1"/>
    <col min="258" max="512" width="9" style="10"/>
    <col min="513" max="513" width="12.75" style="10" customWidth="1"/>
    <col min="514" max="768" width="9" style="10"/>
    <col min="769" max="769" width="12.75" style="10" customWidth="1"/>
    <col min="770" max="1024" width="9" style="10"/>
    <col min="1025" max="1025" width="12.75" style="10" customWidth="1"/>
    <col min="1026" max="1280" width="9" style="10"/>
    <col min="1281" max="1281" width="12.75" style="10" customWidth="1"/>
    <col min="1282" max="1536" width="9" style="10"/>
    <col min="1537" max="1537" width="12.75" style="10" customWidth="1"/>
    <col min="1538" max="1792" width="9" style="10"/>
    <col min="1793" max="1793" width="12.75" style="10" customWidth="1"/>
    <col min="1794" max="2048" width="9" style="10"/>
    <col min="2049" max="2049" width="12.75" style="10" customWidth="1"/>
    <col min="2050" max="2304" width="9" style="10"/>
    <col min="2305" max="2305" width="12.75" style="10" customWidth="1"/>
    <col min="2306" max="2560" width="9" style="10"/>
    <col min="2561" max="2561" width="12.75" style="10" customWidth="1"/>
    <col min="2562" max="2816" width="9" style="10"/>
    <col min="2817" max="2817" width="12.75" style="10" customWidth="1"/>
    <col min="2818" max="3072" width="9" style="10"/>
    <col min="3073" max="3073" width="12.75" style="10" customWidth="1"/>
    <col min="3074" max="3328" width="9" style="10"/>
    <col min="3329" max="3329" width="12.75" style="10" customWidth="1"/>
    <col min="3330" max="3584" width="9" style="10"/>
    <col min="3585" max="3585" width="12.75" style="10" customWidth="1"/>
    <col min="3586" max="3840" width="9" style="10"/>
    <col min="3841" max="3841" width="12.75" style="10" customWidth="1"/>
    <col min="3842" max="4096" width="9" style="10"/>
    <col min="4097" max="4097" width="12.75" style="10" customWidth="1"/>
    <col min="4098" max="4352" width="9" style="10"/>
    <col min="4353" max="4353" width="12.75" style="10" customWidth="1"/>
    <col min="4354" max="4608" width="9" style="10"/>
    <col min="4609" max="4609" width="12.75" style="10" customWidth="1"/>
    <col min="4610" max="4864" width="9" style="10"/>
    <col min="4865" max="4865" width="12.75" style="10" customWidth="1"/>
    <col min="4866" max="5120" width="9" style="10"/>
    <col min="5121" max="5121" width="12.75" style="10" customWidth="1"/>
    <col min="5122" max="5376" width="9" style="10"/>
    <col min="5377" max="5377" width="12.75" style="10" customWidth="1"/>
    <col min="5378" max="5632" width="9" style="10"/>
    <col min="5633" max="5633" width="12.75" style="10" customWidth="1"/>
    <col min="5634" max="5888" width="9" style="10"/>
    <col min="5889" max="5889" width="12.75" style="10" customWidth="1"/>
    <col min="5890" max="6144" width="9" style="10"/>
    <col min="6145" max="6145" width="12.75" style="10" customWidth="1"/>
    <col min="6146" max="6400" width="9" style="10"/>
    <col min="6401" max="6401" width="12.75" style="10" customWidth="1"/>
    <col min="6402" max="6656" width="9" style="10"/>
    <col min="6657" max="6657" width="12.75" style="10" customWidth="1"/>
    <col min="6658" max="6912" width="9" style="10"/>
    <col min="6913" max="6913" width="12.75" style="10" customWidth="1"/>
    <col min="6914" max="7168" width="9" style="10"/>
    <col min="7169" max="7169" width="12.75" style="10" customWidth="1"/>
    <col min="7170" max="7424" width="9" style="10"/>
    <col min="7425" max="7425" width="12.75" style="10" customWidth="1"/>
    <col min="7426" max="7680" width="9" style="10"/>
    <col min="7681" max="7681" width="12.75" style="10" customWidth="1"/>
    <col min="7682" max="7936" width="9" style="10"/>
    <col min="7937" max="7937" width="12.75" style="10" customWidth="1"/>
    <col min="7938" max="8192" width="9" style="10"/>
    <col min="8193" max="8193" width="12.75" style="10" customWidth="1"/>
    <col min="8194" max="8448" width="9" style="10"/>
    <col min="8449" max="8449" width="12.75" style="10" customWidth="1"/>
    <col min="8450" max="8704" width="9" style="10"/>
    <col min="8705" max="8705" width="12.75" style="10" customWidth="1"/>
    <col min="8706" max="8960" width="9" style="10"/>
    <col min="8961" max="8961" width="12.75" style="10" customWidth="1"/>
    <col min="8962" max="9216" width="9" style="10"/>
    <col min="9217" max="9217" width="12.75" style="10" customWidth="1"/>
    <col min="9218" max="9472" width="9" style="10"/>
    <col min="9473" max="9473" width="12.75" style="10" customWidth="1"/>
    <col min="9474" max="9728" width="9" style="10"/>
    <col min="9729" max="9729" width="12.75" style="10" customWidth="1"/>
    <col min="9730" max="9984" width="9" style="10"/>
    <col min="9985" max="9985" width="12.75" style="10" customWidth="1"/>
    <col min="9986" max="10240" width="9" style="10"/>
    <col min="10241" max="10241" width="12.75" style="10" customWidth="1"/>
    <col min="10242" max="10496" width="9" style="10"/>
    <col min="10497" max="10497" width="12.75" style="10" customWidth="1"/>
    <col min="10498" max="10752" width="9" style="10"/>
    <col min="10753" max="10753" width="12.75" style="10" customWidth="1"/>
    <col min="10754" max="11008" width="9" style="10"/>
    <col min="11009" max="11009" width="12.75" style="10" customWidth="1"/>
    <col min="11010" max="11264" width="9" style="10"/>
    <col min="11265" max="11265" width="12.75" style="10" customWidth="1"/>
    <col min="11266" max="11520" width="9" style="10"/>
    <col min="11521" max="11521" width="12.75" style="10" customWidth="1"/>
    <col min="11522" max="11776" width="9" style="10"/>
    <col min="11777" max="11777" width="12.75" style="10" customWidth="1"/>
    <col min="11778" max="12032" width="9" style="10"/>
    <col min="12033" max="12033" width="12.75" style="10" customWidth="1"/>
    <col min="12034" max="12288" width="9" style="10"/>
    <col min="12289" max="12289" width="12.75" style="10" customWidth="1"/>
    <col min="12290" max="12544" width="9" style="10"/>
    <col min="12545" max="12545" width="12.75" style="10" customWidth="1"/>
    <col min="12546" max="12800" width="9" style="10"/>
    <col min="12801" max="12801" width="12.75" style="10" customWidth="1"/>
    <col min="12802" max="13056" width="9" style="10"/>
    <col min="13057" max="13057" width="12.75" style="10" customWidth="1"/>
    <col min="13058" max="13312" width="9" style="10"/>
    <col min="13313" max="13313" width="12.75" style="10" customWidth="1"/>
    <col min="13314" max="13568" width="9" style="10"/>
    <col min="13569" max="13569" width="12.75" style="10" customWidth="1"/>
    <col min="13570" max="13824" width="9" style="10"/>
    <col min="13825" max="13825" width="12.75" style="10" customWidth="1"/>
    <col min="13826" max="14080" width="9" style="10"/>
    <col min="14081" max="14081" width="12.75" style="10" customWidth="1"/>
    <col min="14082" max="14336" width="9" style="10"/>
    <col min="14337" max="14337" width="12.75" style="10" customWidth="1"/>
    <col min="14338" max="14592" width="9" style="10"/>
    <col min="14593" max="14593" width="12.75" style="10" customWidth="1"/>
    <col min="14594" max="14848" width="9" style="10"/>
    <col min="14849" max="14849" width="12.75" style="10" customWidth="1"/>
    <col min="14850" max="15104" width="9" style="10"/>
    <col min="15105" max="15105" width="12.75" style="10" customWidth="1"/>
    <col min="15106" max="15360" width="9" style="10"/>
    <col min="15361" max="15361" width="12.75" style="10" customWidth="1"/>
    <col min="15362" max="15616" width="9" style="10"/>
    <col min="15617" max="15617" width="12.75" style="10" customWidth="1"/>
    <col min="15618" max="15872" width="9" style="10"/>
    <col min="15873" max="15873" width="12.75" style="10" customWidth="1"/>
    <col min="15874" max="16128" width="9" style="10"/>
    <col min="16129" max="16129" width="12.75" style="10" customWidth="1"/>
    <col min="16130" max="16384" width="9" style="10"/>
  </cols>
  <sheetData>
    <row r="1" spans="1:84">
      <c r="A1" s="10" t="s">
        <v>73</v>
      </c>
      <c r="D1" s="10" t="s">
        <v>77</v>
      </c>
    </row>
    <row r="2" spans="1:84" outlineLevel="1">
      <c r="A2" s="54" t="s">
        <v>11</v>
      </c>
      <c r="B2" s="55" t="str">
        <f>产品类型</f>
        <v>定期</v>
      </c>
      <c r="D2" s="10" t="s">
        <v>78</v>
      </c>
    </row>
    <row r="3" spans="1:84" outlineLevel="1">
      <c r="A3" s="56" t="s">
        <v>12</v>
      </c>
      <c r="B3" s="57">
        <f>保险期间</f>
        <v>10</v>
      </c>
    </row>
    <row r="4" spans="1:84" outlineLevel="1">
      <c r="A4" s="56" t="s">
        <v>13</v>
      </c>
      <c r="B4" s="57">
        <f>保额</f>
        <v>1000</v>
      </c>
    </row>
    <row r="5" spans="1:84" outlineLevel="1">
      <c r="A5" s="56" t="s">
        <v>14</v>
      </c>
      <c r="B5" s="57">
        <f>投保年龄</f>
        <v>55</v>
      </c>
    </row>
    <row r="6" spans="1:84" outlineLevel="1">
      <c r="A6" s="56" t="s">
        <v>15</v>
      </c>
      <c r="B6" s="58" t="str">
        <f>投保性别</f>
        <v>男</v>
      </c>
    </row>
    <row r="7" spans="1:84" outlineLevel="1">
      <c r="A7" s="59" t="s">
        <v>26</v>
      </c>
      <c r="B7" s="57">
        <f>期初保单数</f>
        <v>10000</v>
      </c>
    </row>
    <row r="8" spans="1:84" outlineLevel="1">
      <c r="A8" s="60" t="s">
        <v>18</v>
      </c>
      <c r="B8" s="61">
        <f>缴费期</f>
        <v>5</v>
      </c>
    </row>
    <row r="9" spans="1:84" outlineLevel="1">
      <c r="A9" s="12" t="s">
        <v>71</v>
      </c>
      <c r="B9" s="66" t="str">
        <f>IF(投保性别="男","男(CL1)","女(CL2)")</f>
        <v>男(CL1)</v>
      </c>
    </row>
    <row r="10" spans="1:84" outlineLevel="1">
      <c r="A10" s="12" t="s">
        <v>70</v>
      </c>
      <c r="B10" s="67">
        <v>0.8</v>
      </c>
    </row>
    <row r="11" spans="1:84" outlineLevel="1">
      <c r="A11" s="23" t="s">
        <v>68</v>
      </c>
      <c r="B11" s="68">
        <v>0.05</v>
      </c>
    </row>
    <row r="12" spans="1:84" outlineLevel="1">
      <c r="A12" s="23" t="s">
        <v>76</v>
      </c>
      <c r="B12" s="69">
        <v>1000000</v>
      </c>
    </row>
    <row r="13" spans="1:84" outlineLevel="1">
      <c r="A13" s="23" t="s">
        <v>69</v>
      </c>
      <c r="B13" s="70">
        <f>毛保费</f>
        <v>37.291266290629885</v>
      </c>
    </row>
    <row r="15" spans="1:84">
      <c r="A15" s="10" t="s">
        <v>74</v>
      </c>
    </row>
    <row r="16" spans="1:84" outlineLevel="1">
      <c r="B16" s="14">
        <v>1</v>
      </c>
      <c r="C16" s="14">
        <f t="shared" ref="C16:BN16" si="0">IF(B16&lt;保险期间,B16+1,"")</f>
        <v>2</v>
      </c>
      <c r="D16" s="14">
        <f t="shared" si="0"/>
        <v>3</v>
      </c>
      <c r="E16" s="14">
        <f t="shared" si="0"/>
        <v>4</v>
      </c>
      <c r="F16" s="14">
        <f t="shared" si="0"/>
        <v>5</v>
      </c>
      <c r="G16" s="14">
        <f t="shared" si="0"/>
        <v>6</v>
      </c>
      <c r="H16" s="14">
        <f t="shared" si="0"/>
        <v>7</v>
      </c>
      <c r="I16" s="14">
        <f t="shared" si="0"/>
        <v>8</v>
      </c>
      <c r="J16" s="14">
        <f t="shared" si="0"/>
        <v>9</v>
      </c>
      <c r="K16" s="14">
        <f t="shared" si="0"/>
        <v>10</v>
      </c>
      <c r="L16" s="14" t="str">
        <f t="shared" si="0"/>
        <v/>
      </c>
      <c r="M16" s="14" t="str">
        <f t="shared" si="0"/>
        <v/>
      </c>
      <c r="N16" s="14" t="str">
        <f t="shared" si="0"/>
        <v/>
      </c>
      <c r="O16" s="14" t="str">
        <f t="shared" si="0"/>
        <v/>
      </c>
      <c r="P16" s="14" t="str">
        <f t="shared" si="0"/>
        <v/>
      </c>
      <c r="Q16" s="14" t="str">
        <f t="shared" si="0"/>
        <v/>
      </c>
      <c r="R16" s="14" t="str">
        <f t="shared" si="0"/>
        <v/>
      </c>
      <c r="S16" s="14" t="str">
        <f t="shared" si="0"/>
        <v/>
      </c>
      <c r="T16" s="14" t="str">
        <f t="shared" si="0"/>
        <v/>
      </c>
      <c r="U16" s="14" t="str">
        <f t="shared" si="0"/>
        <v/>
      </c>
      <c r="V16" s="14" t="str">
        <f t="shared" si="0"/>
        <v/>
      </c>
      <c r="W16" s="14" t="str">
        <f t="shared" si="0"/>
        <v/>
      </c>
      <c r="X16" s="14" t="str">
        <f t="shared" si="0"/>
        <v/>
      </c>
      <c r="Y16" s="14" t="str">
        <f t="shared" si="0"/>
        <v/>
      </c>
      <c r="Z16" s="14" t="str">
        <f t="shared" si="0"/>
        <v/>
      </c>
      <c r="AA16" s="14" t="str">
        <f t="shared" si="0"/>
        <v/>
      </c>
      <c r="AB16" s="14" t="str">
        <f t="shared" si="0"/>
        <v/>
      </c>
      <c r="AC16" s="14" t="str">
        <f t="shared" si="0"/>
        <v/>
      </c>
      <c r="AD16" s="14" t="str">
        <f t="shared" si="0"/>
        <v/>
      </c>
      <c r="AE16" s="14" t="str">
        <f t="shared" si="0"/>
        <v/>
      </c>
      <c r="AF16" s="14" t="str">
        <f t="shared" si="0"/>
        <v/>
      </c>
      <c r="AG16" s="14" t="str">
        <f t="shared" si="0"/>
        <v/>
      </c>
      <c r="AH16" s="14" t="str">
        <f t="shared" si="0"/>
        <v/>
      </c>
      <c r="AI16" s="14" t="str">
        <f t="shared" si="0"/>
        <v/>
      </c>
      <c r="AJ16" s="14" t="str">
        <f t="shared" si="0"/>
        <v/>
      </c>
      <c r="AK16" s="14" t="str">
        <f t="shared" si="0"/>
        <v/>
      </c>
      <c r="AL16" s="14" t="str">
        <f t="shared" si="0"/>
        <v/>
      </c>
      <c r="AM16" s="14" t="str">
        <f t="shared" si="0"/>
        <v/>
      </c>
      <c r="AN16" s="14" t="str">
        <f t="shared" si="0"/>
        <v/>
      </c>
      <c r="AO16" s="14" t="str">
        <f t="shared" si="0"/>
        <v/>
      </c>
      <c r="AP16" s="14" t="str">
        <f t="shared" si="0"/>
        <v/>
      </c>
      <c r="AQ16" s="14" t="str">
        <f t="shared" si="0"/>
        <v/>
      </c>
      <c r="AR16" s="14" t="str">
        <f t="shared" si="0"/>
        <v/>
      </c>
      <c r="AS16" s="14" t="str">
        <f t="shared" si="0"/>
        <v/>
      </c>
      <c r="AT16" s="14" t="str">
        <f t="shared" si="0"/>
        <v/>
      </c>
      <c r="AU16" s="14" t="str">
        <f t="shared" si="0"/>
        <v/>
      </c>
      <c r="AV16" s="14" t="str">
        <f t="shared" si="0"/>
        <v/>
      </c>
      <c r="AW16" s="14" t="str">
        <f t="shared" si="0"/>
        <v/>
      </c>
      <c r="AX16" s="14" t="str">
        <f t="shared" si="0"/>
        <v/>
      </c>
      <c r="AY16" s="14" t="str">
        <f t="shared" si="0"/>
        <v/>
      </c>
      <c r="AZ16" s="14" t="str">
        <f t="shared" si="0"/>
        <v/>
      </c>
      <c r="BA16" s="14" t="str">
        <f t="shared" si="0"/>
        <v/>
      </c>
      <c r="BB16" s="14" t="str">
        <f t="shared" si="0"/>
        <v/>
      </c>
      <c r="BC16" s="14" t="str">
        <f t="shared" si="0"/>
        <v/>
      </c>
      <c r="BD16" s="14" t="str">
        <f t="shared" si="0"/>
        <v/>
      </c>
      <c r="BE16" s="14" t="str">
        <f t="shared" si="0"/>
        <v/>
      </c>
      <c r="BF16" s="14" t="str">
        <f t="shared" si="0"/>
        <v/>
      </c>
      <c r="BG16" s="14" t="str">
        <f t="shared" si="0"/>
        <v/>
      </c>
      <c r="BH16" s="14" t="str">
        <f t="shared" si="0"/>
        <v/>
      </c>
      <c r="BI16" s="14" t="str">
        <f t="shared" si="0"/>
        <v/>
      </c>
      <c r="BJ16" s="14" t="str">
        <f t="shared" si="0"/>
        <v/>
      </c>
      <c r="BK16" s="14" t="str">
        <f t="shared" si="0"/>
        <v/>
      </c>
      <c r="BL16" s="14" t="str">
        <f t="shared" si="0"/>
        <v/>
      </c>
      <c r="BM16" s="14" t="str">
        <f t="shared" si="0"/>
        <v/>
      </c>
      <c r="BN16" s="14" t="str">
        <f t="shared" si="0"/>
        <v/>
      </c>
      <c r="BO16" s="14" t="str">
        <f t="shared" ref="BO16:CF16" si="1">IF(BN16&lt;保险期间,BN16+1,"")</f>
        <v/>
      </c>
      <c r="BP16" s="14" t="str">
        <f t="shared" si="1"/>
        <v/>
      </c>
      <c r="BQ16" s="14" t="str">
        <f t="shared" si="1"/>
        <v/>
      </c>
      <c r="BR16" s="14" t="str">
        <f t="shared" si="1"/>
        <v/>
      </c>
      <c r="BS16" s="14" t="str">
        <f t="shared" si="1"/>
        <v/>
      </c>
      <c r="BT16" s="14" t="str">
        <f t="shared" si="1"/>
        <v/>
      </c>
      <c r="BU16" s="14" t="str">
        <f t="shared" si="1"/>
        <v/>
      </c>
      <c r="BV16" s="14" t="str">
        <f t="shared" si="1"/>
        <v/>
      </c>
      <c r="BW16" s="14" t="str">
        <f t="shared" si="1"/>
        <v/>
      </c>
      <c r="BX16" s="14" t="str">
        <f t="shared" si="1"/>
        <v/>
      </c>
      <c r="BY16" s="14" t="str">
        <f t="shared" si="1"/>
        <v/>
      </c>
      <c r="BZ16" s="14" t="str">
        <f t="shared" si="1"/>
        <v/>
      </c>
      <c r="CA16" s="14" t="str">
        <f t="shared" si="1"/>
        <v/>
      </c>
      <c r="CB16" s="14" t="str">
        <f t="shared" si="1"/>
        <v/>
      </c>
      <c r="CC16" s="14" t="str">
        <f t="shared" si="1"/>
        <v/>
      </c>
      <c r="CD16" s="14" t="str">
        <f t="shared" si="1"/>
        <v/>
      </c>
      <c r="CE16" s="14" t="str">
        <f t="shared" si="1"/>
        <v/>
      </c>
      <c r="CF16" s="14" t="str">
        <f t="shared" si="1"/>
        <v/>
      </c>
    </row>
    <row r="17" spans="1:89" outlineLevel="1">
      <c r="A17" s="10" t="s">
        <v>20</v>
      </c>
      <c r="B17" s="10">
        <f>测试死亡率因子*HLOOKUP(测试生命表,生命表,投保年龄+2+B16)</f>
        <v>4.1624000000000001E-3</v>
      </c>
      <c r="C17" s="10">
        <f t="shared" ref="C17:AH17" si="2">IF(B16&lt;保险期间,测试死亡率因子*HLOOKUP(测试生命表,生命表,投保年龄+2+C16),"")</f>
        <v>4.5951999999999998E-3</v>
      </c>
      <c r="D17" s="10">
        <f t="shared" si="2"/>
        <v>5.1416000000000005E-3</v>
      </c>
      <c r="E17" s="10">
        <f t="shared" si="2"/>
        <v>5.8080000000000007E-3</v>
      </c>
      <c r="F17" s="10">
        <f t="shared" si="2"/>
        <v>6.5832000000000009E-3</v>
      </c>
      <c r="G17" s="10">
        <f t="shared" si="2"/>
        <v>7.4504000000000003E-3</v>
      </c>
      <c r="H17" s="10">
        <f t="shared" si="2"/>
        <v>8.3920000000000002E-3</v>
      </c>
      <c r="I17" s="10">
        <f t="shared" si="2"/>
        <v>9.3976000000000007E-3</v>
      </c>
      <c r="J17" s="10">
        <f t="shared" si="2"/>
        <v>1.0472800000000001E-2</v>
      </c>
      <c r="K17" s="10">
        <f t="shared" si="2"/>
        <v>1.1633600000000001E-2</v>
      </c>
      <c r="L17" s="10" t="str">
        <f t="shared" si="2"/>
        <v/>
      </c>
      <c r="M17" s="10" t="str">
        <f t="shared" si="2"/>
        <v/>
      </c>
      <c r="N17" s="10" t="str">
        <f t="shared" si="2"/>
        <v/>
      </c>
      <c r="O17" s="10" t="str">
        <f t="shared" si="2"/>
        <v/>
      </c>
      <c r="P17" s="10" t="str">
        <f t="shared" si="2"/>
        <v/>
      </c>
      <c r="Q17" s="10" t="str">
        <f t="shared" si="2"/>
        <v/>
      </c>
      <c r="R17" s="10" t="str">
        <f t="shared" si="2"/>
        <v/>
      </c>
      <c r="S17" s="10" t="str">
        <f t="shared" si="2"/>
        <v/>
      </c>
      <c r="T17" s="10" t="str">
        <f t="shared" si="2"/>
        <v/>
      </c>
      <c r="U17" s="10" t="str">
        <f t="shared" si="2"/>
        <v/>
      </c>
      <c r="V17" s="10" t="str">
        <f t="shared" si="2"/>
        <v/>
      </c>
      <c r="W17" s="10" t="str">
        <f t="shared" si="2"/>
        <v/>
      </c>
      <c r="X17" s="10" t="str">
        <f t="shared" si="2"/>
        <v/>
      </c>
      <c r="Y17" s="10" t="str">
        <f t="shared" si="2"/>
        <v/>
      </c>
      <c r="Z17" s="10" t="str">
        <f t="shared" si="2"/>
        <v/>
      </c>
      <c r="AA17" s="10" t="str">
        <f t="shared" si="2"/>
        <v/>
      </c>
      <c r="AB17" s="10" t="str">
        <f t="shared" si="2"/>
        <v/>
      </c>
      <c r="AC17" s="10" t="str">
        <f t="shared" si="2"/>
        <v/>
      </c>
      <c r="AD17" s="10" t="str">
        <f t="shared" si="2"/>
        <v/>
      </c>
      <c r="AE17" s="10" t="str">
        <f t="shared" si="2"/>
        <v/>
      </c>
      <c r="AF17" s="10" t="str">
        <f t="shared" si="2"/>
        <v/>
      </c>
      <c r="AG17" s="10" t="str">
        <f t="shared" si="2"/>
        <v/>
      </c>
      <c r="AH17" s="10" t="str">
        <f t="shared" si="2"/>
        <v/>
      </c>
      <c r="AI17" s="10" t="str">
        <f t="shared" ref="AI17:BN17" si="3">IF(AH16&lt;保险期间,测试死亡率因子*HLOOKUP(测试生命表,生命表,投保年龄+2+AI16),"")</f>
        <v/>
      </c>
      <c r="AJ17" s="10" t="str">
        <f t="shared" si="3"/>
        <v/>
      </c>
      <c r="AK17" s="10" t="str">
        <f t="shared" si="3"/>
        <v/>
      </c>
      <c r="AL17" s="10" t="str">
        <f t="shared" si="3"/>
        <v/>
      </c>
      <c r="AM17" s="10" t="str">
        <f t="shared" si="3"/>
        <v/>
      </c>
      <c r="AN17" s="10" t="str">
        <f t="shared" si="3"/>
        <v/>
      </c>
      <c r="AO17" s="10" t="str">
        <f t="shared" si="3"/>
        <v/>
      </c>
      <c r="AP17" s="10" t="str">
        <f t="shared" si="3"/>
        <v/>
      </c>
      <c r="AQ17" s="10" t="str">
        <f t="shared" si="3"/>
        <v/>
      </c>
      <c r="AR17" s="10" t="str">
        <f t="shared" si="3"/>
        <v/>
      </c>
      <c r="AS17" s="10" t="str">
        <f t="shared" si="3"/>
        <v/>
      </c>
      <c r="AT17" s="10" t="str">
        <f t="shared" si="3"/>
        <v/>
      </c>
      <c r="AU17" s="10" t="str">
        <f t="shared" si="3"/>
        <v/>
      </c>
      <c r="AV17" s="10" t="str">
        <f t="shared" si="3"/>
        <v/>
      </c>
      <c r="AW17" s="10" t="str">
        <f t="shared" si="3"/>
        <v/>
      </c>
      <c r="AX17" s="10" t="str">
        <f t="shared" si="3"/>
        <v/>
      </c>
      <c r="AY17" s="10" t="str">
        <f t="shared" si="3"/>
        <v/>
      </c>
      <c r="AZ17" s="10" t="str">
        <f t="shared" si="3"/>
        <v/>
      </c>
      <c r="BA17" s="10" t="str">
        <f t="shared" si="3"/>
        <v/>
      </c>
      <c r="BB17" s="10" t="str">
        <f t="shared" si="3"/>
        <v/>
      </c>
      <c r="BC17" s="10" t="str">
        <f t="shared" si="3"/>
        <v/>
      </c>
      <c r="BD17" s="10" t="str">
        <f t="shared" si="3"/>
        <v/>
      </c>
      <c r="BE17" s="10" t="str">
        <f t="shared" si="3"/>
        <v/>
      </c>
      <c r="BF17" s="10" t="str">
        <f t="shared" si="3"/>
        <v/>
      </c>
      <c r="BG17" s="10" t="str">
        <f t="shared" si="3"/>
        <v/>
      </c>
      <c r="BH17" s="10" t="str">
        <f t="shared" si="3"/>
        <v/>
      </c>
      <c r="BI17" s="10" t="str">
        <f t="shared" si="3"/>
        <v/>
      </c>
      <c r="BJ17" s="10" t="str">
        <f t="shared" si="3"/>
        <v/>
      </c>
      <c r="BK17" s="10" t="str">
        <f t="shared" si="3"/>
        <v/>
      </c>
      <c r="BL17" s="10" t="str">
        <f t="shared" si="3"/>
        <v/>
      </c>
      <c r="BM17" s="10" t="str">
        <f t="shared" si="3"/>
        <v/>
      </c>
      <c r="BN17" s="10" t="str">
        <f t="shared" si="3"/>
        <v/>
      </c>
      <c r="BO17" s="10" t="str">
        <f t="shared" ref="BO17:CF17" si="4">IF(BN16&lt;保险期间,测试死亡率因子*HLOOKUP(测试生命表,生命表,投保年龄+2+BO16),"")</f>
        <v/>
      </c>
      <c r="BP17" s="10" t="str">
        <f t="shared" si="4"/>
        <v/>
      </c>
      <c r="BQ17" s="10" t="str">
        <f t="shared" si="4"/>
        <v/>
      </c>
      <c r="BR17" s="10" t="str">
        <f t="shared" si="4"/>
        <v/>
      </c>
      <c r="BS17" s="10" t="str">
        <f t="shared" si="4"/>
        <v/>
      </c>
      <c r="BT17" s="10" t="str">
        <f t="shared" si="4"/>
        <v/>
      </c>
      <c r="BU17" s="10" t="str">
        <f t="shared" si="4"/>
        <v/>
      </c>
      <c r="BV17" s="10" t="str">
        <f t="shared" si="4"/>
        <v/>
      </c>
      <c r="BW17" s="10" t="str">
        <f t="shared" si="4"/>
        <v/>
      </c>
      <c r="BX17" s="10" t="str">
        <f t="shared" si="4"/>
        <v/>
      </c>
      <c r="BY17" s="10" t="str">
        <f t="shared" si="4"/>
        <v/>
      </c>
      <c r="BZ17" s="10" t="str">
        <f t="shared" si="4"/>
        <v/>
      </c>
      <c r="CA17" s="10" t="str">
        <f t="shared" si="4"/>
        <v/>
      </c>
      <c r="CB17" s="10" t="str">
        <f t="shared" si="4"/>
        <v/>
      </c>
      <c r="CC17" s="10" t="str">
        <f t="shared" si="4"/>
        <v/>
      </c>
      <c r="CD17" s="10" t="str">
        <f t="shared" si="4"/>
        <v/>
      </c>
      <c r="CE17" s="10" t="str">
        <f t="shared" si="4"/>
        <v/>
      </c>
      <c r="CF17" s="10" t="str">
        <f t="shared" si="4"/>
        <v/>
      </c>
    </row>
    <row r="18" spans="1:89" outlineLevel="1">
      <c r="A18" s="10" t="s">
        <v>21</v>
      </c>
      <c r="B18" s="10">
        <f>测试利率编号</f>
        <v>0.05</v>
      </c>
      <c r="C18" s="10">
        <f t="shared" ref="C18:AH18" si="5">IF(B16&lt;保险期间,测试利率编号,"")</f>
        <v>0.05</v>
      </c>
      <c r="D18" s="10">
        <f t="shared" si="5"/>
        <v>0.05</v>
      </c>
      <c r="E18" s="10">
        <f t="shared" si="5"/>
        <v>0.05</v>
      </c>
      <c r="F18" s="10">
        <f t="shared" si="5"/>
        <v>0.05</v>
      </c>
      <c r="G18" s="10">
        <f t="shared" si="5"/>
        <v>0.05</v>
      </c>
      <c r="H18" s="10">
        <f t="shared" si="5"/>
        <v>0.05</v>
      </c>
      <c r="I18" s="10">
        <f t="shared" si="5"/>
        <v>0.05</v>
      </c>
      <c r="J18" s="10">
        <f t="shared" si="5"/>
        <v>0.05</v>
      </c>
      <c r="K18" s="10">
        <f t="shared" si="5"/>
        <v>0.05</v>
      </c>
      <c r="L18" s="10" t="str">
        <f t="shared" si="5"/>
        <v/>
      </c>
      <c r="M18" s="10" t="str">
        <f t="shared" si="5"/>
        <v/>
      </c>
      <c r="N18" s="10" t="str">
        <f t="shared" si="5"/>
        <v/>
      </c>
      <c r="O18" s="10" t="str">
        <f t="shared" si="5"/>
        <v/>
      </c>
      <c r="P18" s="10" t="str">
        <f t="shared" si="5"/>
        <v/>
      </c>
      <c r="Q18" s="10" t="str">
        <f t="shared" si="5"/>
        <v/>
      </c>
      <c r="R18" s="10" t="str">
        <f t="shared" si="5"/>
        <v/>
      </c>
      <c r="S18" s="10" t="str">
        <f t="shared" si="5"/>
        <v/>
      </c>
      <c r="T18" s="10" t="str">
        <f t="shared" si="5"/>
        <v/>
      </c>
      <c r="U18" s="10" t="str">
        <f t="shared" si="5"/>
        <v/>
      </c>
      <c r="V18" s="10" t="str">
        <f t="shared" si="5"/>
        <v/>
      </c>
      <c r="W18" s="10" t="str">
        <f t="shared" si="5"/>
        <v/>
      </c>
      <c r="X18" s="10" t="str">
        <f t="shared" si="5"/>
        <v/>
      </c>
      <c r="Y18" s="10" t="str">
        <f t="shared" si="5"/>
        <v/>
      </c>
      <c r="Z18" s="10" t="str">
        <f t="shared" si="5"/>
        <v/>
      </c>
      <c r="AA18" s="10" t="str">
        <f t="shared" si="5"/>
        <v/>
      </c>
      <c r="AB18" s="10" t="str">
        <f t="shared" si="5"/>
        <v/>
      </c>
      <c r="AC18" s="10" t="str">
        <f t="shared" si="5"/>
        <v/>
      </c>
      <c r="AD18" s="10" t="str">
        <f t="shared" si="5"/>
        <v/>
      </c>
      <c r="AE18" s="10" t="str">
        <f t="shared" si="5"/>
        <v/>
      </c>
      <c r="AF18" s="10" t="str">
        <f t="shared" si="5"/>
        <v/>
      </c>
      <c r="AG18" s="10" t="str">
        <f t="shared" si="5"/>
        <v/>
      </c>
      <c r="AH18" s="10" t="str">
        <f t="shared" si="5"/>
        <v/>
      </c>
      <c r="AI18" s="10" t="str">
        <f t="shared" ref="AI18:BN18" si="6">IF(AH16&lt;保险期间,测试利率编号,"")</f>
        <v/>
      </c>
      <c r="AJ18" s="10" t="str">
        <f t="shared" si="6"/>
        <v/>
      </c>
      <c r="AK18" s="10" t="str">
        <f t="shared" si="6"/>
        <v/>
      </c>
      <c r="AL18" s="10" t="str">
        <f t="shared" si="6"/>
        <v/>
      </c>
      <c r="AM18" s="10" t="str">
        <f t="shared" si="6"/>
        <v/>
      </c>
      <c r="AN18" s="10" t="str">
        <f t="shared" si="6"/>
        <v/>
      </c>
      <c r="AO18" s="10" t="str">
        <f t="shared" si="6"/>
        <v/>
      </c>
      <c r="AP18" s="10" t="str">
        <f t="shared" si="6"/>
        <v/>
      </c>
      <c r="AQ18" s="10" t="str">
        <f t="shared" si="6"/>
        <v/>
      </c>
      <c r="AR18" s="10" t="str">
        <f t="shared" si="6"/>
        <v/>
      </c>
      <c r="AS18" s="10" t="str">
        <f t="shared" si="6"/>
        <v/>
      </c>
      <c r="AT18" s="10" t="str">
        <f t="shared" si="6"/>
        <v/>
      </c>
      <c r="AU18" s="10" t="str">
        <f t="shared" si="6"/>
        <v/>
      </c>
      <c r="AV18" s="10" t="str">
        <f t="shared" si="6"/>
        <v/>
      </c>
      <c r="AW18" s="10" t="str">
        <f t="shared" si="6"/>
        <v/>
      </c>
      <c r="AX18" s="10" t="str">
        <f t="shared" si="6"/>
        <v/>
      </c>
      <c r="AY18" s="10" t="str">
        <f t="shared" si="6"/>
        <v/>
      </c>
      <c r="AZ18" s="10" t="str">
        <f t="shared" si="6"/>
        <v/>
      </c>
      <c r="BA18" s="10" t="str">
        <f t="shared" si="6"/>
        <v/>
      </c>
      <c r="BB18" s="10" t="str">
        <f t="shared" si="6"/>
        <v/>
      </c>
      <c r="BC18" s="10" t="str">
        <f t="shared" si="6"/>
        <v/>
      </c>
      <c r="BD18" s="10" t="str">
        <f t="shared" si="6"/>
        <v/>
      </c>
      <c r="BE18" s="10" t="str">
        <f t="shared" si="6"/>
        <v/>
      </c>
      <c r="BF18" s="10" t="str">
        <f t="shared" si="6"/>
        <v/>
      </c>
      <c r="BG18" s="10" t="str">
        <f t="shared" si="6"/>
        <v/>
      </c>
      <c r="BH18" s="10" t="str">
        <f t="shared" si="6"/>
        <v/>
      </c>
      <c r="BI18" s="10" t="str">
        <f t="shared" si="6"/>
        <v/>
      </c>
      <c r="BJ18" s="10" t="str">
        <f t="shared" si="6"/>
        <v/>
      </c>
      <c r="BK18" s="10" t="str">
        <f t="shared" si="6"/>
        <v/>
      </c>
      <c r="BL18" s="10" t="str">
        <f t="shared" si="6"/>
        <v/>
      </c>
      <c r="BM18" s="10" t="str">
        <f t="shared" si="6"/>
        <v/>
      </c>
      <c r="BN18" s="10" t="str">
        <f t="shared" si="6"/>
        <v/>
      </c>
      <c r="BO18" s="10" t="str">
        <f t="shared" ref="BO18:CF18" si="7">IF(BN16&lt;保险期间,测试利率编号,"")</f>
        <v/>
      </c>
      <c r="BP18" s="10" t="str">
        <f t="shared" si="7"/>
        <v/>
      </c>
      <c r="BQ18" s="10" t="str">
        <f t="shared" si="7"/>
        <v/>
      </c>
      <c r="BR18" s="10" t="str">
        <f t="shared" si="7"/>
        <v/>
      </c>
      <c r="BS18" s="10" t="str">
        <f t="shared" si="7"/>
        <v/>
      </c>
      <c r="BT18" s="10" t="str">
        <f t="shared" si="7"/>
        <v/>
      </c>
      <c r="BU18" s="10" t="str">
        <f t="shared" si="7"/>
        <v/>
      </c>
      <c r="BV18" s="10" t="str">
        <f t="shared" si="7"/>
        <v/>
      </c>
      <c r="BW18" s="10" t="str">
        <f t="shared" si="7"/>
        <v/>
      </c>
      <c r="BX18" s="10" t="str">
        <f t="shared" si="7"/>
        <v/>
      </c>
      <c r="BY18" s="10" t="str">
        <f t="shared" si="7"/>
        <v/>
      </c>
      <c r="BZ18" s="10" t="str">
        <f t="shared" si="7"/>
        <v/>
      </c>
      <c r="CA18" s="10" t="str">
        <f t="shared" si="7"/>
        <v/>
      </c>
      <c r="CB18" s="10" t="str">
        <f t="shared" si="7"/>
        <v/>
      </c>
      <c r="CC18" s="10" t="str">
        <f t="shared" si="7"/>
        <v/>
      </c>
      <c r="CD18" s="10" t="str">
        <f t="shared" si="7"/>
        <v/>
      </c>
      <c r="CE18" s="10" t="str">
        <f t="shared" si="7"/>
        <v/>
      </c>
      <c r="CF18" s="10" t="str">
        <f t="shared" si="7"/>
        <v/>
      </c>
    </row>
    <row r="19" spans="1:89" outlineLevel="1">
      <c r="A19" s="10" t="s">
        <v>22</v>
      </c>
      <c r="B19" s="10">
        <f>IF(B16&lt;=缴费期,1,0)</f>
        <v>1</v>
      </c>
      <c r="C19" s="10">
        <f t="shared" ref="C19:BN19" si="8">IF(B16&lt;保险期间,IF(C16&lt;=缴费期,1,0),"")</f>
        <v>1</v>
      </c>
      <c r="D19" s="10">
        <f t="shared" si="8"/>
        <v>1</v>
      </c>
      <c r="E19" s="10">
        <f t="shared" si="8"/>
        <v>1</v>
      </c>
      <c r="F19" s="10">
        <f t="shared" si="8"/>
        <v>1</v>
      </c>
      <c r="G19" s="10">
        <f t="shared" si="8"/>
        <v>0</v>
      </c>
      <c r="H19" s="10">
        <f t="shared" si="8"/>
        <v>0</v>
      </c>
      <c r="I19" s="10">
        <f t="shared" si="8"/>
        <v>0</v>
      </c>
      <c r="J19" s="10">
        <f t="shared" si="8"/>
        <v>0</v>
      </c>
      <c r="K19" s="10">
        <f t="shared" si="8"/>
        <v>0</v>
      </c>
      <c r="L19" s="10" t="str">
        <f t="shared" si="8"/>
        <v/>
      </c>
      <c r="M19" s="10" t="str">
        <f t="shared" si="8"/>
        <v/>
      </c>
      <c r="N19" s="10" t="str">
        <f t="shared" si="8"/>
        <v/>
      </c>
      <c r="O19" s="10" t="str">
        <f t="shared" si="8"/>
        <v/>
      </c>
      <c r="P19" s="10" t="str">
        <f t="shared" si="8"/>
        <v/>
      </c>
      <c r="Q19" s="10" t="str">
        <f t="shared" si="8"/>
        <v/>
      </c>
      <c r="R19" s="10" t="str">
        <f t="shared" si="8"/>
        <v/>
      </c>
      <c r="S19" s="10" t="str">
        <f t="shared" si="8"/>
        <v/>
      </c>
      <c r="T19" s="10" t="str">
        <f t="shared" si="8"/>
        <v/>
      </c>
      <c r="U19" s="10" t="str">
        <f t="shared" si="8"/>
        <v/>
      </c>
      <c r="V19" s="10" t="str">
        <f t="shared" si="8"/>
        <v/>
      </c>
      <c r="W19" s="10" t="str">
        <f t="shared" si="8"/>
        <v/>
      </c>
      <c r="X19" s="10" t="str">
        <f t="shared" si="8"/>
        <v/>
      </c>
      <c r="Y19" s="10" t="str">
        <f t="shared" si="8"/>
        <v/>
      </c>
      <c r="Z19" s="10" t="str">
        <f t="shared" si="8"/>
        <v/>
      </c>
      <c r="AA19" s="10" t="str">
        <f t="shared" si="8"/>
        <v/>
      </c>
      <c r="AB19" s="10" t="str">
        <f t="shared" si="8"/>
        <v/>
      </c>
      <c r="AC19" s="10" t="str">
        <f t="shared" si="8"/>
        <v/>
      </c>
      <c r="AD19" s="10" t="str">
        <f t="shared" si="8"/>
        <v/>
      </c>
      <c r="AE19" s="10" t="str">
        <f t="shared" si="8"/>
        <v/>
      </c>
      <c r="AF19" s="10" t="str">
        <f t="shared" si="8"/>
        <v/>
      </c>
      <c r="AG19" s="10" t="str">
        <f t="shared" si="8"/>
        <v/>
      </c>
      <c r="AH19" s="10" t="str">
        <f t="shared" si="8"/>
        <v/>
      </c>
      <c r="AI19" s="10" t="str">
        <f t="shared" si="8"/>
        <v/>
      </c>
      <c r="AJ19" s="10" t="str">
        <f t="shared" si="8"/>
        <v/>
      </c>
      <c r="AK19" s="10" t="str">
        <f t="shared" si="8"/>
        <v/>
      </c>
      <c r="AL19" s="10" t="str">
        <f t="shared" si="8"/>
        <v/>
      </c>
      <c r="AM19" s="10" t="str">
        <f t="shared" si="8"/>
        <v/>
      </c>
      <c r="AN19" s="10" t="str">
        <f t="shared" si="8"/>
        <v/>
      </c>
      <c r="AO19" s="10" t="str">
        <f t="shared" si="8"/>
        <v/>
      </c>
      <c r="AP19" s="10" t="str">
        <f t="shared" si="8"/>
        <v/>
      </c>
      <c r="AQ19" s="10" t="str">
        <f t="shared" si="8"/>
        <v/>
      </c>
      <c r="AR19" s="10" t="str">
        <f t="shared" si="8"/>
        <v/>
      </c>
      <c r="AS19" s="10" t="str">
        <f t="shared" si="8"/>
        <v/>
      </c>
      <c r="AT19" s="10" t="str">
        <f t="shared" si="8"/>
        <v/>
      </c>
      <c r="AU19" s="10" t="str">
        <f t="shared" si="8"/>
        <v/>
      </c>
      <c r="AV19" s="10" t="str">
        <f t="shared" si="8"/>
        <v/>
      </c>
      <c r="AW19" s="10" t="str">
        <f t="shared" si="8"/>
        <v/>
      </c>
      <c r="AX19" s="10" t="str">
        <f t="shared" si="8"/>
        <v/>
      </c>
      <c r="AY19" s="10" t="str">
        <f t="shared" si="8"/>
        <v/>
      </c>
      <c r="AZ19" s="10" t="str">
        <f t="shared" si="8"/>
        <v/>
      </c>
      <c r="BA19" s="10" t="str">
        <f t="shared" si="8"/>
        <v/>
      </c>
      <c r="BB19" s="10" t="str">
        <f t="shared" si="8"/>
        <v/>
      </c>
      <c r="BC19" s="10" t="str">
        <f t="shared" si="8"/>
        <v/>
      </c>
      <c r="BD19" s="10" t="str">
        <f t="shared" si="8"/>
        <v/>
      </c>
      <c r="BE19" s="10" t="str">
        <f t="shared" si="8"/>
        <v/>
      </c>
      <c r="BF19" s="10" t="str">
        <f t="shared" si="8"/>
        <v/>
      </c>
      <c r="BG19" s="10" t="str">
        <f t="shared" si="8"/>
        <v/>
      </c>
      <c r="BH19" s="10" t="str">
        <f t="shared" si="8"/>
        <v/>
      </c>
      <c r="BI19" s="10" t="str">
        <f t="shared" si="8"/>
        <v/>
      </c>
      <c r="BJ19" s="10" t="str">
        <f t="shared" si="8"/>
        <v/>
      </c>
      <c r="BK19" s="10" t="str">
        <f t="shared" si="8"/>
        <v/>
      </c>
      <c r="BL19" s="10" t="str">
        <f t="shared" si="8"/>
        <v/>
      </c>
      <c r="BM19" s="10" t="str">
        <f t="shared" si="8"/>
        <v/>
      </c>
      <c r="BN19" s="10" t="str">
        <f t="shared" si="8"/>
        <v/>
      </c>
      <c r="BO19" s="10" t="str">
        <f t="shared" ref="BO19:CF19" si="9">IF(BN16&lt;保险期间,IF(BO16&lt;=缴费期,1,0),"")</f>
        <v/>
      </c>
      <c r="BP19" s="10" t="str">
        <f t="shared" si="9"/>
        <v/>
      </c>
      <c r="BQ19" s="10" t="str">
        <f t="shared" si="9"/>
        <v/>
      </c>
      <c r="BR19" s="10" t="str">
        <f t="shared" si="9"/>
        <v/>
      </c>
      <c r="BS19" s="10" t="str">
        <f t="shared" si="9"/>
        <v/>
      </c>
      <c r="BT19" s="10" t="str">
        <f t="shared" si="9"/>
        <v/>
      </c>
      <c r="BU19" s="10" t="str">
        <f t="shared" si="9"/>
        <v/>
      </c>
      <c r="BV19" s="10" t="str">
        <f t="shared" si="9"/>
        <v/>
      </c>
      <c r="BW19" s="10" t="str">
        <f t="shared" si="9"/>
        <v/>
      </c>
      <c r="BX19" s="10" t="str">
        <f t="shared" si="9"/>
        <v/>
      </c>
      <c r="BY19" s="10" t="str">
        <f t="shared" si="9"/>
        <v/>
      </c>
      <c r="BZ19" s="10" t="str">
        <f t="shared" si="9"/>
        <v/>
      </c>
      <c r="CA19" s="10" t="str">
        <f t="shared" si="9"/>
        <v/>
      </c>
      <c r="CB19" s="10" t="str">
        <f t="shared" si="9"/>
        <v/>
      </c>
      <c r="CC19" s="10" t="str">
        <f t="shared" si="9"/>
        <v/>
      </c>
      <c r="CD19" s="10" t="str">
        <f t="shared" si="9"/>
        <v/>
      </c>
      <c r="CE19" s="10" t="str">
        <f t="shared" si="9"/>
        <v/>
      </c>
      <c r="CF19" s="10" t="str">
        <f t="shared" si="9"/>
        <v/>
      </c>
    </row>
    <row r="20" spans="1:89" outlineLevel="1">
      <c r="A20" s="10" t="s">
        <v>52</v>
      </c>
      <c r="B20" s="10">
        <f t="shared" ref="B20:BM20" si="10">IF(B16&lt;=保险期间,IF(AND(B16=保险期间,产品类型="两全"),1,0),"")</f>
        <v>0</v>
      </c>
      <c r="C20" s="10">
        <f t="shared" si="10"/>
        <v>0</v>
      </c>
      <c r="D20" s="10">
        <f t="shared" si="10"/>
        <v>0</v>
      </c>
      <c r="E20" s="10">
        <f t="shared" si="10"/>
        <v>0</v>
      </c>
      <c r="F20" s="10">
        <f t="shared" si="10"/>
        <v>0</v>
      </c>
      <c r="G20" s="10">
        <f t="shared" si="10"/>
        <v>0</v>
      </c>
      <c r="H20" s="10">
        <f t="shared" si="10"/>
        <v>0</v>
      </c>
      <c r="I20" s="10">
        <f t="shared" si="10"/>
        <v>0</v>
      </c>
      <c r="J20" s="10">
        <f t="shared" si="10"/>
        <v>0</v>
      </c>
      <c r="K20" s="10">
        <f t="shared" si="10"/>
        <v>0</v>
      </c>
      <c r="L20" s="10" t="str">
        <f t="shared" si="10"/>
        <v/>
      </c>
      <c r="M20" s="10" t="str">
        <f t="shared" si="10"/>
        <v/>
      </c>
      <c r="N20" s="10" t="str">
        <f t="shared" si="10"/>
        <v/>
      </c>
      <c r="O20" s="10" t="str">
        <f t="shared" si="10"/>
        <v/>
      </c>
      <c r="P20" s="10" t="str">
        <f t="shared" si="10"/>
        <v/>
      </c>
      <c r="Q20" s="10" t="str">
        <f t="shared" si="10"/>
        <v/>
      </c>
      <c r="R20" s="10" t="str">
        <f t="shared" si="10"/>
        <v/>
      </c>
      <c r="S20" s="10" t="str">
        <f t="shared" si="10"/>
        <v/>
      </c>
      <c r="T20" s="10" t="str">
        <f t="shared" si="10"/>
        <v/>
      </c>
      <c r="U20" s="10" t="str">
        <f t="shared" si="10"/>
        <v/>
      </c>
      <c r="V20" s="10" t="str">
        <f t="shared" si="10"/>
        <v/>
      </c>
      <c r="W20" s="10" t="str">
        <f t="shared" si="10"/>
        <v/>
      </c>
      <c r="X20" s="10" t="str">
        <f t="shared" si="10"/>
        <v/>
      </c>
      <c r="Y20" s="10" t="str">
        <f t="shared" si="10"/>
        <v/>
      </c>
      <c r="Z20" s="10" t="str">
        <f t="shared" si="10"/>
        <v/>
      </c>
      <c r="AA20" s="10" t="str">
        <f t="shared" si="10"/>
        <v/>
      </c>
      <c r="AB20" s="10" t="str">
        <f t="shared" si="10"/>
        <v/>
      </c>
      <c r="AC20" s="10" t="str">
        <f t="shared" si="10"/>
        <v/>
      </c>
      <c r="AD20" s="10" t="str">
        <f t="shared" si="10"/>
        <v/>
      </c>
      <c r="AE20" s="10" t="str">
        <f t="shared" si="10"/>
        <v/>
      </c>
      <c r="AF20" s="10" t="str">
        <f t="shared" si="10"/>
        <v/>
      </c>
      <c r="AG20" s="10" t="str">
        <f t="shared" si="10"/>
        <v/>
      </c>
      <c r="AH20" s="10" t="str">
        <f t="shared" si="10"/>
        <v/>
      </c>
      <c r="AI20" s="10" t="str">
        <f t="shared" si="10"/>
        <v/>
      </c>
      <c r="AJ20" s="10" t="str">
        <f t="shared" si="10"/>
        <v/>
      </c>
      <c r="AK20" s="10" t="str">
        <f t="shared" si="10"/>
        <v/>
      </c>
      <c r="AL20" s="10" t="str">
        <f t="shared" si="10"/>
        <v/>
      </c>
      <c r="AM20" s="10" t="str">
        <f t="shared" si="10"/>
        <v/>
      </c>
      <c r="AN20" s="10" t="str">
        <f t="shared" si="10"/>
        <v/>
      </c>
      <c r="AO20" s="10" t="str">
        <f t="shared" si="10"/>
        <v/>
      </c>
      <c r="AP20" s="10" t="str">
        <f t="shared" si="10"/>
        <v/>
      </c>
      <c r="AQ20" s="10" t="str">
        <f t="shared" si="10"/>
        <v/>
      </c>
      <c r="AR20" s="10" t="str">
        <f t="shared" si="10"/>
        <v/>
      </c>
      <c r="AS20" s="10" t="str">
        <f t="shared" si="10"/>
        <v/>
      </c>
      <c r="AT20" s="10" t="str">
        <f t="shared" si="10"/>
        <v/>
      </c>
      <c r="AU20" s="10" t="str">
        <f t="shared" si="10"/>
        <v/>
      </c>
      <c r="AV20" s="10" t="str">
        <f t="shared" si="10"/>
        <v/>
      </c>
      <c r="AW20" s="10" t="str">
        <f t="shared" si="10"/>
        <v/>
      </c>
      <c r="AX20" s="10" t="str">
        <f t="shared" si="10"/>
        <v/>
      </c>
      <c r="AY20" s="10" t="str">
        <f t="shared" si="10"/>
        <v/>
      </c>
      <c r="AZ20" s="10" t="str">
        <f t="shared" si="10"/>
        <v/>
      </c>
      <c r="BA20" s="10" t="str">
        <f t="shared" si="10"/>
        <v/>
      </c>
      <c r="BB20" s="10" t="str">
        <f t="shared" si="10"/>
        <v/>
      </c>
      <c r="BC20" s="10" t="str">
        <f t="shared" si="10"/>
        <v/>
      </c>
      <c r="BD20" s="10" t="str">
        <f t="shared" si="10"/>
        <v/>
      </c>
      <c r="BE20" s="10" t="str">
        <f t="shared" si="10"/>
        <v/>
      </c>
      <c r="BF20" s="10" t="str">
        <f t="shared" si="10"/>
        <v/>
      </c>
      <c r="BG20" s="10" t="str">
        <f t="shared" si="10"/>
        <v/>
      </c>
      <c r="BH20" s="10" t="str">
        <f t="shared" si="10"/>
        <v/>
      </c>
      <c r="BI20" s="10" t="str">
        <f t="shared" si="10"/>
        <v/>
      </c>
      <c r="BJ20" s="10" t="str">
        <f t="shared" si="10"/>
        <v/>
      </c>
      <c r="BK20" s="10" t="str">
        <f t="shared" si="10"/>
        <v/>
      </c>
      <c r="BL20" s="10" t="str">
        <f t="shared" si="10"/>
        <v/>
      </c>
      <c r="BM20" s="10" t="str">
        <f t="shared" si="10"/>
        <v/>
      </c>
      <c r="BN20" s="10" t="str">
        <f t="shared" ref="BN20:CF20" si="11">IF(BN16&lt;=保险期间,IF(AND(BN16=保险期间,产品类型="两全"),1,0),"")</f>
        <v/>
      </c>
      <c r="BO20" s="10" t="str">
        <f t="shared" si="11"/>
        <v/>
      </c>
      <c r="BP20" s="10" t="str">
        <f t="shared" si="11"/>
        <v/>
      </c>
      <c r="BQ20" s="10" t="str">
        <f t="shared" si="11"/>
        <v/>
      </c>
      <c r="BR20" s="10" t="str">
        <f t="shared" si="11"/>
        <v/>
      </c>
      <c r="BS20" s="10" t="str">
        <f t="shared" si="11"/>
        <v/>
      </c>
      <c r="BT20" s="10" t="str">
        <f t="shared" si="11"/>
        <v/>
      </c>
      <c r="BU20" s="10" t="str">
        <f t="shared" si="11"/>
        <v/>
      </c>
      <c r="BV20" s="10" t="str">
        <f t="shared" si="11"/>
        <v/>
      </c>
      <c r="BW20" s="10" t="str">
        <f t="shared" si="11"/>
        <v/>
      </c>
      <c r="BX20" s="10" t="str">
        <f t="shared" si="11"/>
        <v/>
      </c>
      <c r="BY20" s="10" t="str">
        <f t="shared" si="11"/>
        <v/>
      </c>
      <c r="BZ20" s="10" t="str">
        <f t="shared" si="11"/>
        <v/>
      </c>
      <c r="CA20" s="10" t="str">
        <f t="shared" si="11"/>
        <v/>
      </c>
      <c r="CB20" s="10" t="str">
        <f t="shared" si="11"/>
        <v/>
      </c>
      <c r="CC20" s="10" t="str">
        <f t="shared" si="11"/>
        <v/>
      </c>
      <c r="CD20" s="10" t="str">
        <f t="shared" si="11"/>
        <v/>
      </c>
      <c r="CE20" s="10" t="str">
        <f t="shared" si="11"/>
        <v/>
      </c>
      <c r="CF20" s="10" t="str">
        <f t="shared" si="11"/>
        <v/>
      </c>
    </row>
    <row r="21" spans="1:89" outlineLevel="1">
      <c r="A21" s="10" t="s">
        <v>58</v>
      </c>
      <c r="B21" s="10">
        <v>42</v>
      </c>
      <c r="C21" s="10">
        <v>8</v>
      </c>
      <c r="D21" s="10">
        <v>8</v>
      </c>
      <c r="E21" s="10">
        <v>6</v>
      </c>
      <c r="F21" s="10">
        <v>6</v>
      </c>
      <c r="G21" s="10">
        <v>6</v>
      </c>
      <c r="H21" s="10">
        <v>6</v>
      </c>
      <c r="I21" s="10">
        <v>6</v>
      </c>
      <c r="J21" s="10">
        <v>6</v>
      </c>
      <c r="K21" s="10">
        <v>6</v>
      </c>
      <c r="L21" s="10">
        <v>6</v>
      </c>
      <c r="M21" s="10">
        <v>6</v>
      </c>
      <c r="N21" s="10">
        <v>6</v>
      </c>
      <c r="O21" s="10">
        <v>6</v>
      </c>
      <c r="P21" s="10">
        <v>6</v>
      </c>
      <c r="Q21" s="10">
        <v>6</v>
      </c>
      <c r="R21" s="10">
        <v>6</v>
      </c>
      <c r="S21" s="10">
        <v>6</v>
      </c>
      <c r="T21" s="10">
        <v>6</v>
      </c>
      <c r="U21" s="10">
        <v>6</v>
      </c>
      <c r="V21" s="10">
        <v>6</v>
      </c>
      <c r="W21" s="10">
        <v>6</v>
      </c>
      <c r="X21" s="10">
        <v>6</v>
      </c>
      <c r="Y21" s="10">
        <v>6</v>
      </c>
      <c r="Z21" s="10">
        <v>6</v>
      </c>
      <c r="AA21" s="10">
        <v>6</v>
      </c>
      <c r="AB21" s="10">
        <v>6</v>
      </c>
      <c r="AC21" s="10">
        <v>6</v>
      </c>
      <c r="AD21" s="10">
        <v>6</v>
      </c>
      <c r="AE21" s="10">
        <v>6</v>
      </c>
      <c r="AF21" s="10">
        <v>6</v>
      </c>
      <c r="AG21" s="10">
        <v>6</v>
      </c>
      <c r="AH21" s="10">
        <v>6</v>
      </c>
      <c r="AI21" s="10">
        <v>6</v>
      </c>
      <c r="AJ21" s="10">
        <v>6</v>
      </c>
      <c r="AK21" s="10">
        <v>6</v>
      </c>
      <c r="AL21" s="10">
        <v>6</v>
      </c>
      <c r="AM21" s="10">
        <v>6</v>
      </c>
      <c r="AN21" s="10">
        <v>6</v>
      </c>
      <c r="AO21" s="10">
        <v>6</v>
      </c>
      <c r="AP21" s="10">
        <v>6</v>
      </c>
      <c r="AQ21" s="10">
        <v>6</v>
      </c>
      <c r="AR21" s="10">
        <v>6</v>
      </c>
      <c r="AS21" s="10">
        <v>6</v>
      </c>
      <c r="AT21" s="10">
        <v>6</v>
      </c>
      <c r="AU21" s="10">
        <v>6</v>
      </c>
      <c r="AV21" s="10">
        <v>6</v>
      </c>
      <c r="AW21" s="10">
        <v>6</v>
      </c>
      <c r="AX21" s="10">
        <v>6</v>
      </c>
      <c r="AY21" s="10">
        <v>6</v>
      </c>
      <c r="AZ21" s="10">
        <v>6</v>
      </c>
      <c r="BA21" s="10">
        <v>6</v>
      </c>
      <c r="BB21" s="10">
        <v>6</v>
      </c>
      <c r="BC21" s="10">
        <v>6</v>
      </c>
      <c r="BD21" s="10">
        <v>6</v>
      </c>
      <c r="BE21" s="10">
        <v>6</v>
      </c>
      <c r="BF21" s="10">
        <v>6</v>
      </c>
      <c r="BG21" s="10">
        <v>6</v>
      </c>
      <c r="BH21" s="10">
        <v>6</v>
      </c>
      <c r="BI21" s="10">
        <v>6</v>
      </c>
      <c r="BJ21" s="10">
        <v>6</v>
      </c>
      <c r="BK21" s="10">
        <v>6</v>
      </c>
      <c r="BL21" s="10">
        <v>6</v>
      </c>
      <c r="BM21" s="10">
        <v>6</v>
      </c>
      <c r="BN21" s="10">
        <v>6</v>
      </c>
      <c r="BO21" s="10">
        <v>6</v>
      </c>
      <c r="BP21" s="10">
        <v>6</v>
      </c>
      <c r="BQ21" s="10">
        <v>6</v>
      </c>
      <c r="BR21" s="10">
        <v>6</v>
      </c>
      <c r="BS21" s="10">
        <v>6</v>
      </c>
      <c r="BT21" s="10">
        <v>6</v>
      </c>
      <c r="BU21" s="10">
        <v>6</v>
      </c>
      <c r="BV21" s="10">
        <v>6</v>
      </c>
      <c r="BW21" s="10">
        <v>6</v>
      </c>
      <c r="BX21" s="10">
        <v>6</v>
      </c>
      <c r="BY21" s="10">
        <v>6</v>
      </c>
      <c r="BZ21" s="10">
        <v>6</v>
      </c>
      <c r="CA21" s="10">
        <v>6</v>
      </c>
      <c r="CB21" s="10">
        <v>6</v>
      </c>
      <c r="CC21" s="10">
        <v>6</v>
      </c>
      <c r="CD21" s="10">
        <v>6</v>
      </c>
      <c r="CE21" s="10">
        <v>6</v>
      </c>
      <c r="CF21" s="10">
        <v>6</v>
      </c>
    </row>
    <row r="22" spans="1:89" outlineLevel="1">
      <c r="A22" s="10" t="s">
        <v>59</v>
      </c>
      <c r="B22" s="10">
        <v>5</v>
      </c>
      <c r="C22" s="10">
        <v>0.5</v>
      </c>
      <c r="D22" s="10">
        <v>0.5</v>
      </c>
      <c r="E22" s="10">
        <v>0.5</v>
      </c>
      <c r="F22" s="10">
        <v>0.5</v>
      </c>
      <c r="G22" s="10">
        <v>0.5</v>
      </c>
      <c r="H22" s="10">
        <v>0.5</v>
      </c>
      <c r="I22" s="10">
        <v>0.5</v>
      </c>
      <c r="J22" s="10">
        <v>0.5</v>
      </c>
      <c r="K22" s="10">
        <v>0.5</v>
      </c>
      <c r="L22" s="10">
        <v>0.5</v>
      </c>
      <c r="M22" s="10">
        <v>0.5</v>
      </c>
      <c r="N22" s="10">
        <v>0.5</v>
      </c>
      <c r="O22" s="10">
        <v>0.5</v>
      </c>
      <c r="P22" s="10">
        <v>0.5</v>
      </c>
      <c r="Q22" s="10">
        <v>0.5</v>
      </c>
      <c r="R22" s="10">
        <v>0.5</v>
      </c>
      <c r="S22" s="10">
        <v>0.5</v>
      </c>
      <c r="T22" s="10">
        <v>0.5</v>
      </c>
      <c r="U22" s="10">
        <v>0.5</v>
      </c>
      <c r="V22" s="10">
        <v>0.5</v>
      </c>
      <c r="W22" s="10">
        <v>0.5</v>
      </c>
      <c r="X22" s="10">
        <v>0.5</v>
      </c>
      <c r="Y22" s="10">
        <v>0.5</v>
      </c>
      <c r="Z22" s="10">
        <v>0.5</v>
      </c>
      <c r="AA22" s="10">
        <v>0.5</v>
      </c>
      <c r="AB22" s="10">
        <v>0.5</v>
      </c>
      <c r="AC22" s="10">
        <v>0.5</v>
      </c>
      <c r="AD22" s="10">
        <v>0.5</v>
      </c>
      <c r="AE22" s="10">
        <v>0.5</v>
      </c>
      <c r="AF22" s="10">
        <v>0.5</v>
      </c>
      <c r="AG22" s="10">
        <v>0.5</v>
      </c>
      <c r="AH22" s="10">
        <v>0.5</v>
      </c>
      <c r="AI22" s="10">
        <v>0.5</v>
      </c>
      <c r="AJ22" s="10">
        <v>0.5</v>
      </c>
      <c r="AK22" s="10">
        <v>0.5</v>
      </c>
      <c r="AL22" s="10">
        <v>0.5</v>
      </c>
      <c r="AM22" s="10">
        <v>0.5</v>
      </c>
      <c r="AN22" s="10">
        <v>0.5</v>
      </c>
      <c r="AO22" s="10">
        <v>0.5</v>
      </c>
      <c r="AP22" s="10">
        <v>0.5</v>
      </c>
      <c r="AQ22" s="10">
        <v>0.5</v>
      </c>
      <c r="AR22" s="10">
        <v>0.5</v>
      </c>
      <c r="AS22" s="10">
        <v>0.5</v>
      </c>
      <c r="AT22" s="10">
        <v>0.5</v>
      </c>
      <c r="AU22" s="10">
        <v>0.5</v>
      </c>
      <c r="AV22" s="10">
        <v>0.5</v>
      </c>
      <c r="AW22" s="10">
        <v>0.5</v>
      </c>
      <c r="AX22" s="10">
        <v>0.5</v>
      </c>
      <c r="AY22" s="10">
        <v>0.5</v>
      </c>
      <c r="AZ22" s="10">
        <v>0.5</v>
      </c>
      <c r="BA22" s="10">
        <v>0.5</v>
      </c>
      <c r="BB22" s="10">
        <v>0.5</v>
      </c>
      <c r="BC22" s="10">
        <v>0.5</v>
      </c>
      <c r="BD22" s="10">
        <v>0.5</v>
      </c>
      <c r="BE22" s="10">
        <v>0.5</v>
      </c>
      <c r="BF22" s="10">
        <v>0.5</v>
      </c>
      <c r="BG22" s="10">
        <v>0.5</v>
      </c>
      <c r="BH22" s="10">
        <v>0.5</v>
      </c>
      <c r="BI22" s="10">
        <v>0.5</v>
      </c>
      <c r="BJ22" s="10">
        <v>0.5</v>
      </c>
      <c r="BK22" s="10">
        <v>0.5</v>
      </c>
      <c r="BL22" s="10">
        <v>0.5</v>
      </c>
      <c r="BM22" s="10">
        <v>0.5</v>
      </c>
      <c r="BN22" s="10">
        <v>0.5</v>
      </c>
      <c r="BO22" s="10">
        <v>0.5</v>
      </c>
      <c r="BP22" s="10">
        <v>0.5</v>
      </c>
      <c r="BQ22" s="10">
        <v>0.5</v>
      </c>
      <c r="BR22" s="10">
        <v>0.5</v>
      </c>
      <c r="BS22" s="10">
        <v>0.5</v>
      </c>
      <c r="BT22" s="10">
        <v>0.5</v>
      </c>
      <c r="BU22" s="10">
        <v>0.5</v>
      </c>
      <c r="BV22" s="10">
        <v>0.5</v>
      </c>
      <c r="BW22" s="10">
        <v>0.5</v>
      </c>
      <c r="BX22" s="10">
        <v>0.5</v>
      </c>
      <c r="BY22" s="10">
        <v>0.5</v>
      </c>
      <c r="BZ22" s="10">
        <v>0.5</v>
      </c>
      <c r="CA22" s="10">
        <v>0.5</v>
      </c>
      <c r="CB22" s="10">
        <v>0.5</v>
      </c>
      <c r="CC22" s="10">
        <v>0.5</v>
      </c>
      <c r="CD22" s="10">
        <v>0.5</v>
      </c>
      <c r="CE22" s="10">
        <v>0.5</v>
      </c>
      <c r="CF22" s="10">
        <v>0.5</v>
      </c>
    </row>
    <row r="23" spans="1:89" outlineLevel="1">
      <c r="A23" s="10" t="s">
        <v>60</v>
      </c>
      <c r="B23" s="27">
        <v>0.15</v>
      </c>
      <c r="C23" s="27">
        <v>0.05</v>
      </c>
      <c r="D23" s="27">
        <v>0.05</v>
      </c>
      <c r="E23" s="27">
        <v>0.05</v>
      </c>
      <c r="F23" s="27">
        <v>0.05</v>
      </c>
      <c r="G23" s="27">
        <v>0.05</v>
      </c>
      <c r="H23" s="27">
        <v>0.05</v>
      </c>
      <c r="I23" s="27">
        <v>0.05</v>
      </c>
      <c r="J23" s="27">
        <v>0.05</v>
      </c>
      <c r="K23" s="18">
        <v>0.02</v>
      </c>
      <c r="L23" s="18">
        <v>0.02</v>
      </c>
      <c r="M23" s="18">
        <v>0.02</v>
      </c>
      <c r="N23" s="18">
        <v>0.02</v>
      </c>
      <c r="O23" s="18">
        <v>0.02</v>
      </c>
      <c r="P23" s="18">
        <v>0.02</v>
      </c>
      <c r="Q23" s="18">
        <v>0.02</v>
      </c>
      <c r="R23" s="18">
        <v>0.02</v>
      </c>
      <c r="S23" s="18">
        <v>0.02</v>
      </c>
      <c r="T23" s="18">
        <v>0.02</v>
      </c>
      <c r="U23" s="18">
        <v>0.02</v>
      </c>
      <c r="V23" s="18">
        <v>0.02</v>
      </c>
      <c r="W23" s="18">
        <v>0.02</v>
      </c>
      <c r="X23" s="18">
        <v>0.02</v>
      </c>
      <c r="Y23" s="18">
        <v>0.02</v>
      </c>
      <c r="Z23" s="18">
        <v>0.02</v>
      </c>
      <c r="AA23" s="18">
        <v>0.02</v>
      </c>
      <c r="AB23" s="18">
        <v>0.02</v>
      </c>
      <c r="AC23" s="18">
        <v>0.02</v>
      </c>
      <c r="AD23" s="18">
        <v>0.02</v>
      </c>
      <c r="AE23" s="18">
        <v>0.02</v>
      </c>
      <c r="AF23" s="18">
        <v>0.02</v>
      </c>
      <c r="AG23" s="18">
        <v>0.02</v>
      </c>
      <c r="AH23" s="18">
        <v>0.02</v>
      </c>
      <c r="AI23" s="18">
        <v>0.02</v>
      </c>
      <c r="AJ23" s="18">
        <v>0.02</v>
      </c>
      <c r="AK23" s="18">
        <v>0.02</v>
      </c>
      <c r="AL23" s="18">
        <v>0.02</v>
      </c>
      <c r="AM23" s="18">
        <v>0.02</v>
      </c>
      <c r="AN23" s="18">
        <v>0.02</v>
      </c>
      <c r="AO23" s="18">
        <v>0.02</v>
      </c>
      <c r="AP23" s="18">
        <v>0.02</v>
      </c>
      <c r="AQ23" s="18">
        <v>0.02</v>
      </c>
      <c r="AR23" s="18">
        <v>0.02</v>
      </c>
      <c r="AS23" s="18">
        <v>0.02</v>
      </c>
      <c r="AT23" s="18">
        <v>0.02</v>
      </c>
      <c r="AU23" s="18">
        <v>0.02</v>
      </c>
      <c r="AV23" s="18">
        <v>0.02</v>
      </c>
      <c r="AW23" s="18">
        <v>0.02</v>
      </c>
      <c r="AX23" s="18">
        <v>0.02</v>
      </c>
      <c r="AY23" s="18">
        <v>0.02</v>
      </c>
      <c r="AZ23" s="18">
        <v>0.02</v>
      </c>
      <c r="BA23" s="18">
        <v>0.02</v>
      </c>
      <c r="BB23" s="18">
        <v>0.02</v>
      </c>
      <c r="BC23" s="18">
        <v>0.02</v>
      </c>
      <c r="BD23" s="18">
        <v>0.02</v>
      </c>
      <c r="BE23" s="18">
        <v>0.02</v>
      </c>
      <c r="BF23" s="18">
        <v>0.02</v>
      </c>
      <c r="BG23" s="18">
        <v>0.02</v>
      </c>
      <c r="BH23" s="18">
        <v>0.02</v>
      </c>
      <c r="BI23" s="18">
        <v>0.02</v>
      </c>
      <c r="BJ23" s="18">
        <v>0.02</v>
      </c>
      <c r="BK23" s="18">
        <v>0.02</v>
      </c>
      <c r="BL23" s="18">
        <v>0.02</v>
      </c>
      <c r="BM23" s="18">
        <v>0.02</v>
      </c>
      <c r="BN23" s="18">
        <v>0.02</v>
      </c>
      <c r="BO23" s="18">
        <v>0.02</v>
      </c>
      <c r="BP23" s="18">
        <v>0.02</v>
      </c>
      <c r="BQ23" s="18">
        <v>0.02</v>
      </c>
      <c r="BR23" s="18">
        <v>0.02</v>
      </c>
      <c r="BS23" s="18">
        <v>0.02</v>
      </c>
      <c r="BT23" s="18">
        <v>0.02</v>
      </c>
      <c r="BU23" s="18">
        <v>0.02</v>
      </c>
      <c r="BV23" s="18">
        <v>0.02</v>
      </c>
      <c r="BW23" s="18">
        <v>0.02</v>
      </c>
      <c r="BX23" s="18">
        <v>0.02</v>
      </c>
      <c r="BY23" s="18">
        <v>0.02</v>
      </c>
      <c r="BZ23" s="18">
        <v>0.02</v>
      </c>
      <c r="CA23" s="18">
        <v>0.02</v>
      </c>
      <c r="CB23" s="18">
        <v>0.02</v>
      </c>
      <c r="CC23" s="18">
        <v>0.02</v>
      </c>
      <c r="CD23" s="18">
        <v>0.02</v>
      </c>
      <c r="CE23" s="18">
        <v>0.02</v>
      </c>
      <c r="CF23" s="18">
        <v>0.02</v>
      </c>
    </row>
    <row r="25" spans="1:89">
      <c r="A25" s="10" t="s">
        <v>75</v>
      </c>
    </row>
    <row r="26" spans="1:89" outlineLevel="1">
      <c r="B26" s="10">
        <f>B16</f>
        <v>1</v>
      </c>
      <c r="C26" s="10">
        <f>C16</f>
        <v>2</v>
      </c>
      <c r="D26" s="10">
        <f t="shared" ref="D26:BO26" si="12">D16</f>
        <v>3</v>
      </c>
      <c r="E26" s="10">
        <f t="shared" si="12"/>
        <v>4</v>
      </c>
      <c r="F26" s="10">
        <f t="shared" si="12"/>
        <v>5</v>
      </c>
      <c r="G26" s="10">
        <f t="shared" si="12"/>
        <v>6</v>
      </c>
      <c r="H26" s="10">
        <f t="shared" si="12"/>
        <v>7</v>
      </c>
      <c r="I26" s="10">
        <f t="shared" si="12"/>
        <v>8</v>
      </c>
      <c r="J26" s="10">
        <f t="shared" si="12"/>
        <v>9</v>
      </c>
      <c r="K26" s="10">
        <f t="shared" si="12"/>
        <v>10</v>
      </c>
      <c r="L26" s="10" t="str">
        <f t="shared" si="12"/>
        <v/>
      </c>
      <c r="M26" s="10" t="str">
        <f t="shared" si="12"/>
        <v/>
      </c>
      <c r="N26" s="10" t="str">
        <f t="shared" si="12"/>
        <v/>
      </c>
      <c r="O26" s="10" t="str">
        <f t="shared" si="12"/>
        <v/>
      </c>
      <c r="P26" s="10" t="str">
        <f t="shared" si="12"/>
        <v/>
      </c>
      <c r="Q26" s="10" t="str">
        <f t="shared" si="12"/>
        <v/>
      </c>
      <c r="R26" s="10" t="str">
        <f t="shared" si="12"/>
        <v/>
      </c>
      <c r="S26" s="10" t="str">
        <f t="shared" si="12"/>
        <v/>
      </c>
      <c r="T26" s="10" t="str">
        <f t="shared" si="12"/>
        <v/>
      </c>
      <c r="U26" s="10" t="str">
        <f t="shared" si="12"/>
        <v/>
      </c>
      <c r="V26" s="10" t="str">
        <f t="shared" si="12"/>
        <v/>
      </c>
      <c r="W26" s="10" t="str">
        <f t="shared" si="12"/>
        <v/>
      </c>
      <c r="X26" s="10" t="str">
        <f t="shared" si="12"/>
        <v/>
      </c>
      <c r="Y26" s="10" t="str">
        <f t="shared" si="12"/>
        <v/>
      </c>
      <c r="Z26" s="10" t="str">
        <f t="shared" si="12"/>
        <v/>
      </c>
      <c r="AA26" s="10" t="str">
        <f t="shared" si="12"/>
        <v/>
      </c>
      <c r="AB26" s="10" t="str">
        <f t="shared" si="12"/>
        <v/>
      </c>
      <c r="AC26" s="10" t="str">
        <f t="shared" si="12"/>
        <v/>
      </c>
      <c r="AD26" s="10" t="str">
        <f t="shared" si="12"/>
        <v/>
      </c>
      <c r="AE26" s="10" t="str">
        <f t="shared" si="12"/>
        <v/>
      </c>
      <c r="AF26" s="10" t="str">
        <f t="shared" si="12"/>
        <v/>
      </c>
      <c r="AG26" s="10" t="str">
        <f t="shared" si="12"/>
        <v/>
      </c>
      <c r="AH26" s="10" t="str">
        <f t="shared" si="12"/>
        <v/>
      </c>
      <c r="AI26" s="10" t="str">
        <f t="shared" si="12"/>
        <v/>
      </c>
      <c r="AJ26" s="10" t="str">
        <f t="shared" si="12"/>
        <v/>
      </c>
      <c r="AK26" s="10" t="str">
        <f t="shared" si="12"/>
        <v/>
      </c>
      <c r="AL26" s="10" t="str">
        <f t="shared" si="12"/>
        <v/>
      </c>
      <c r="AM26" s="10" t="str">
        <f t="shared" si="12"/>
        <v/>
      </c>
      <c r="AN26" s="10" t="str">
        <f t="shared" si="12"/>
        <v/>
      </c>
      <c r="AO26" s="10" t="str">
        <f t="shared" si="12"/>
        <v/>
      </c>
      <c r="AP26" s="10" t="str">
        <f t="shared" si="12"/>
        <v/>
      </c>
      <c r="AQ26" s="10" t="str">
        <f t="shared" si="12"/>
        <v/>
      </c>
      <c r="AR26" s="10" t="str">
        <f t="shared" si="12"/>
        <v/>
      </c>
      <c r="AS26" s="10" t="str">
        <f t="shared" si="12"/>
        <v/>
      </c>
      <c r="AT26" s="10" t="str">
        <f t="shared" si="12"/>
        <v/>
      </c>
      <c r="AU26" s="10" t="str">
        <f t="shared" si="12"/>
        <v/>
      </c>
      <c r="AV26" s="10" t="str">
        <f t="shared" si="12"/>
        <v/>
      </c>
      <c r="AW26" s="10" t="str">
        <f t="shared" si="12"/>
        <v/>
      </c>
      <c r="AX26" s="10" t="str">
        <f t="shared" si="12"/>
        <v/>
      </c>
      <c r="AY26" s="10" t="str">
        <f t="shared" si="12"/>
        <v/>
      </c>
      <c r="AZ26" s="10" t="str">
        <f t="shared" si="12"/>
        <v/>
      </c>
      <c r="BA26" s="10" t="str">
        <f t="shared" si="12"/>
        <v/>
      </c>
      <c r="BB26" s="10" t="str">
        <f t="shared" si="12"/>
        <v/>
      </c>
      <c r="BC26" s="10" t="str">
        <f t="shared" si="12"/>
        <v/>
      </c>
      <c r="BD26" s="10" t="str">
        <f t="shared" si="12"/>
        <v/>
      </c>
      <c r="BE26" s="10" t="str">
        <f t="shared" si="12"/>
        <v/>
      </c>
      <c r="BF26" s="10" t="str">
        <f t="shared" si="12"/>
        <v/>
      </c>
      <c r="BG26" s="10" t="str">
        <f t="shared" si="12"/>
        <v/>
      </c>
      <c r="BH26" s="10" t="str">
        <f t="shared" si="12"/>
        <v/>
      </c>
      <c r="BI26" s="10" t="str">
        <f t="shared" si="12"/>
        <v/>
      </c>
      <c r="BJ26" s="10" t="str">
        <f t="shared" si="12"/>
        <v/>
      </c>
      <c r="BK26" s="10" t="str">
        <f t="shared" si="12"/>
        <v/>
      </c>
      <c r="BL26" s="10" t="str">
        <f t="shared" si="12"/>
        <v/>
      </c>
      <c r="BM26" s="10" t="str">
        <f t="shared" si="12"/>
        <v/>
      </c>
      <c r="BN26" s="10" t="str">
        <f t="shared" si="12"/>
        <v/>
      </c>
      <c r="BO26" s="10" t="str">
        <f t="shared" si="12"/>
        <v/>
      </c>
      <c r="BP26" s="10" t="str">
        <f t="shared" ref="BP26:CF26" si="13">BP16</f>
        <v/>
      </c>
      <c r="BQ26" s="10" t="str">
        <f t="shared" si="13"/>
        <v/>
      </c>
      <c r="BR26" s="10" t="str">
        <f t="shared" si="13"/>
        <v/>
      </c>
      <c r="BS26" s="10" t="str">
        <f t="shared" si="13"/>
        <v/>
      </c>
      <c r="BT26" s="10" t="str">
        <f t="shared" si="13"/>
        <v/>
      </c>
      <c r="BU26" s="10" t="str">
        <f t="shared" si="13"/>
        <v/>
      </c>
      <c r="BV26" s="10" t="str">
        <f t="shared" si="13"/>
        <v/>
      </c>
      <c r="BW26" s="10" t="str">
        <f t="shared" si="13"/>
        <v/>
      </c>
      <c r="BX26" s="10" t="str">
        <f t="shared" si="13"/>
        <v/>
      </c>
      <c r="BY26" s="10" t="str">
        <f t="shared" si="13"/>
        <v/>
      </c>
      <c r="BZ26" s="10" t="str">
        <f t="shared" si="13"/>
        <v/>
      </c>
      <c r="CA26" s="10" t="str">
        <f t="shared" si="13"/>
        <v/>
      </c>
      <c r="CB26" s="10" t="str">
        <f t="shared" si="13"/>
        <v/>
      </c>
      <c r="CC26" s="10" t="str">
        <f t="shared" si="13"/>
        <v/>
      </c>
      <c r="CD26" s="10" t="str">
        <f t="shared" si="13"/>
        <v/>
      </c>
      <c r="CE26" s="10" t="str">
        <f t="shared" si="13"/>
        <v/>
      </c>
      <c r="CF26" s="10" t="str">
        <f t="shared" si="13"/>
        <v/>
      </c>
    </row>
    <row r="27" spans="1:89" outlineLevel="1">
      <c r="A27" s="10" t="s">
        <v>24</v>
      </c>
      <c r="B27" s="63">
        <f>启动资本</f>
        <v>1000000</v>
      </c>
      <c r="C27" s="28">
        <f>IF(B16&lt;保险期间,B41,"")</f>
        <v>847700.5516438717</v>
      </c>
      <c r="D27" s="28">
        <f t="shared" ref="D27:BN27" si="14">IF(C16&lt;保险期间,C41,"")</f>
        <v>1131106.5415409873</v>
      </c>
      <c r="E27" s="28">
        <f t="shared" si="14"/>
        <v>1422159.0384230709</v>
      </c>
      <c r="F27" s="28">
        <f t="shared" si="14"/>
        <v>1740696.1288879728</v>
      </c>
      <c r="G27" s="28">
        <f t="shared" si="14"/>
        <v>2066122.6561774234</v>
      </c>
      <c r="H27" s="28">
        <f t="shared" si="14"/>
        <v>2035502.258460012</v>
      </c>
      <c r="I27" s="28">
        <f t="shared" si="14"/>
        <v>1995245.9528451271</v>
      </c>
      <c r="J27" s="28">
        <f t="shared" si="14"/>
        <v>1944528.9425690537</v>
      </c>
      <c r="K27" s="28">
        <f t="shared" si="14"/>
        <v>1882480.0752801464</v>
      </c>
      <c r="L27" s="28" t="str">
        <f t="shared" si="14"/>
        <v/>
      </c>
      <c r="M27" s="28" t="str">
        <f t="shared" si="14"/>
        <v/>
      </c>
      <c r="N27" s="28" t="str">
        <f t="shared" si="14"/>
        <v/>
      </c>
      <c r="O27" s="28" t="str">
        <f t="shared" si="14"/>
        <v/>
      </c>
      <c r="P27" s="28" t="str">
        <f t="shared" si="14"/>
        <v/>
      </c>
      <c r="Q27" s="28" t="str">
        <f t="shared" si="14"/>
        <v/>
      </c>
      <c r="R27" s="28" t="str">
        <f t="shared" si="14"/>
        <v/>
      </c>
      <c r="S27" s="28" t="str">
        <f t="shared" si="14"/>
        <v/>
      </c>
      <c r="T27" s="28" t="str">
        <f t="shared" si="14"/>
        <v/>
      </c>
      <c r="U27" s="28" t="str">
        <f t="shared" si="14"/>
        <v/>
      </c>
      <c r="V27" s="28" t="str">
        <f t="shared" si="14"/>
        <v/>
      </c>
      <c r="W27" s="28" t="str">
        <f t="shared" si="14"/>
        <v/>
      </c>
      <c r="X27" s="28" t="str">
        <f t="shared" si="14"/>
        <v/>
      </c>
      <c r="Y27" s="28" t="str">
        <f t="shared" si="14"/>
        <v/>
      </c>
      <c r="Z27" s="28" t="str">
        <f t="shared" si="14"/>
        <v/>
      </c>
      <c r="AA27" s="28" t="str">
        <f t="shared" si="14"/>
        <v/>
      </c>
      <c r="AB27" s="28" t="str">
        <f t="shared" si="14"/>
        <v/>
      </c>
      <c r="AC27" s="28" t="str">
        <f t="shared" si="14"/>
        <v/>
      </c>
      <c r="AD27" s="28" t="str">
        <f t="shared" si="14"/>
        <v/>
      </c>
      <c r="AE27" s="28" t="str">
        <f t="shared" si="14"/>
        <v/>
      </c>
      <c r="AF27" s="28" t="str">
        <f t="shared" si="14"/>
        <v/>
      </c>
      <c r="AG27" s="28" t="str">
        <f t="shared" si="14"/>
        <v/>
      </c>
      <c r="AH27" s="28" t="str">
        <f t="shared" si="14"/>
        <v/>
      </c>
      <c r="AI27" s="28" t="str">
        <f t="shared" si="14"/>
        <v/>
      </c>
      <c r="AJ27" s="28" t="str">
        <f t="shared" si="14"/>
        <v/>
      </c>
      <c r="AK27" s="28" t="str">
        <f t="shared" si="14"/>
        <v/>
      </c>
      <c r="AL27" s="28" t="str">
        <f t="shared" si="14"/>
        <v/>
      </c>
      <c r="AM27" s="28" t="str">
        <f t="shared" si="14"/>
        <v/>
      </c>
      <c r="AN27" s="28" t="str">
        <f t="shared" si="14"/>
        <v/>
      </c>
      <c r="AO27" s="28" t="str">
        <f t="shared" si="14"/>
        <v/>
      </c>
      <c r="AP27" s="28" t="str">
        <f t="shared" si="14"/>
        <v/>
      </c>
      <c r="AQ27" s="28" t="str">
        <f t="shared" si="14"/>
        <v/>
      </c>
      <c r="AR27" s="28" t="str">
        <f t="shared" si="14"/>
        <v/>
      </c>
      <c r="AS27" s="28" t="str">
        <f t="shared" si="14"/>
        <v/>
      </c>
      <c r="AT27" s="28" t="str">
        <f t="shared" si="14"/>
        <v/>
      </c>
      <c r="AU27" s="28" t="str">
        <f t="shared" si="14"/>
        <v/>
      </c>
      <c r="AV27" s="28" t="str">
        <f t="shared" si="14"/>
        <v/>
      </c>
      <c r="AW27" s="28" t="str">
        <f t="shared" si="14"/>
        <v/>
      </c>
      <c r="AX27" s="28" t="str">
        <f t="shared" si="14"/>
        <v/>
      </c>
      <c r="AY27" s="28" t="str">
        <f t="shared" si="14"/>
        <v/>
      </c>
      <c r="AZ27" s="28" t="str">
        <f t="shared" si="14"/>
        <v/>
      </c>
      <c r="BA27" s="28" t="str">
        <f t="shared" si="14"/>
        <v/>
      </c>
      <c r="BB27" s="28" t="str">
        <f t="shared" si="14"/>
        <v/>
      </c>
      <c r="BC27" s="28" t="str">
        <f t="shared" si="14"/>
        <v/>
      </c>
      <c r="BD27" s="28" t="str">
        <f t="shared" si="14"/>
        <v/>
      </c>
      <c r="BE27" s="28" t="str">
        <f t="shared" si="14"/>
        <v/>
      </c>
      <c r="BF27" s="28" t="str">
        <f t="shared" si="14"/>
        <v/>
      </c>
      <c r="BG27" s="28" t="str">
        <f t="shared" si="14"/>
        <v/>
      </c>
      <c r="BH27" s="28" t="str">
        <f t="shared" si="14"/>
        <v/>
      </c>
      <c r="BI27" s="28" t="str">
        <f t="shared" si="14"/>
        <v/>
      </c>
      <c r="BJ27" s="28" t="str">
        <f t="shared" si="14"/>
        <v/>
      </c>
      <c r="BK27" s="28" t="str">
        <f t="shared" si="14"/>
        <v/>
      </c>
      <c r="BL27" s="28" t="str">
        <f t="shared" si="14"/>
        <v/>
      </c>
      <c r="BM27" s="28" t="str">
        <f t="shared" si="14"/>
        <v/>
      </c>
      <c r="BN27" s="28" t="str">
        <f t="shared" si="14"/>
        <v/>
      </c>
      <c r="BO27" s="28" t="str">
        <f t="shared" ref="BO27:CF27" si="15">IF(BN16&lt;保险期间,BN41,"")</f>
        <v/>
      </c>
      <c r="BP27" s="28" t="str">
        <f t="shared" si="15"/>
        <v/>
      </c>
      <c r="BQ27" s="28" t="str">
        <f t="shared" si="15"/>
        <v/>
      </c>
      <c r="BR27" s="28" t="str">
        <f t="shared" si="15"/>
        <v/>
      </c>
      <c r="BS27" s="28" t="str">
        <f t="shared" si="15"/>
        <v/>
      </c>
      <c r="BT27" s="28" t="str">
        <f t="shared" si="15"/>
        <v/>
      </c>
      <c r="BU27" s="28" t="str">
        <f t="shared" si="15"/>
        <v/>
      </c>
      <c r="BV27" s="28" t="str">
        <f t="shared" si="15"/>
        <v/>
      </c>
      <c r="BW27" s="28" t="str">
        <f t="shared" si="15"/>
        <v/>
      </c>
      <c r="BX27" s="28" t="str">
        <f t="shared" si="15"/>
        <v/>
      </c>
      <c r="BY27" s="28" t="str">
        <f t="shared" si="15"/>
        <v/>
      </c>
      <c r="BZ27" s="28" t="str">
        <f t="shared" si="15"/>
        <v/>
      </c>
      <c r="CA27" s="28" t="str">
        <f t="shared" si="15"/>
        <v/>
      </c>
      <c r="CB27" s="28" t="str">
        <f t="shared" si="15"/>
        <v/>
      </c>
      <c r="CC27" s="28" t="str">
        <f t="shared" si="15"/>
        <v/>
      </c>
      <c r="CD27" s="28" t="str">
        <f t="shared" si="15"/>
        <v/>
      </c>
      <c r="CE27" s="28" t="str">
        <f t="shared" si="15"/>
        <v/>
      </c>
      <c r="CF27" s="28" t="str">
        <f t="shared" si="15"/>
        <v/>
      </c>
    </row>
    <row r="28" spans="1:89" outlineLevel="1">
      <c r="A28" s="10" t="s">
        <v>25</v>
      </c>
      <c r="B28" s="28">
        <f>期初保单数</f>
        <v>10000</v>
      </c>
      <c r="C28" s="28">
        <f t="shared" ref="C28:BN28" si="16">IF(B16&lt;保险期间,B38,"")</f>
        <v>9958.3760000000002</v>
      </c>
      <c r="D28" s="28">
        <f t="shared" si="16"/>
        <v>9912.6152706047997</v>
      </c>
      <c r="E28" s="28">
        <f t="shared" si="16"/>
        <v>9861.6485679294583</v>
      </c>
      <c r="F28" s="28">
        <f t="shared" si="16"/>
        <v>9804.3721130469239</v>
      </c>
      <c r="G28" s="28">
        <f t="shared" si="16"/>
        <v>9739.8279705523128</v>
      </c>
      <c r="H28" s="28">
        <f t="shared" si="16"/>
        <v>9667.2623562405097</v>
      </c>
      <c r="I28" s="28">
        <f t="shared" si="16"/>
        <v>9586.13469054694</v>
      </c>
      <c r="J28" s="28">
        <f t="shared" si="16"/>
        <v>9496.0480311790561</v>
      </c>
      <c r="K28" s="28">
        <f t="shared" si="16"/>
        <v>9396.597819358125</v>
      </c>
      <c r="L28" s="28" t="str">
        <f t="shared" si="16"/>
        <v/>
      </c>
      <c r="M28" s="28" t="str">
        <f t="shared" si="16"/>
        <v/>
      </c>
      <c r="N28" s="28" t="str">
        <f t="shared" si="16"/>
        <v/>
      </c>
      <c r="O28" s="28" t="str">
        <f t="shared" si="16"/>
        <v/>
      </c>
      <c r="P28" s="28" t="str">
        <f t="shared" si="16"/>
        <v/>
      </c>
      <c r="Q28" s="28" t="str">
        <f t="shared" si="16"/>
        <v/>
      </c>
      <c r="R28" s="28" t="str">
        <f t="shared" si="16"/>
        <v/>
      </c>
      <c r="S28" s="28" t="str">
        <f t="shared" si="16"/>
        <v/>
      </c>
      <c r="T28" s="28" t="str">
        <f t="shared" si="16"/>
        <v/>
      </c>
      <c r="U28" s="28" t="str">
        <f t="shared" si="16"/>
        <v/>
      </c>
      <c r="V28" s="28" t="str">
        <f t="shared" si="16"/>
        <v/>
      </c>
      <c r="W28" s="28" t="str">
        <f t="shared" si="16"/>
        <v/>
      </c>
      <c r="X28" s="28" t="str">
        <f t="shared" si="16"/>
        <v/>
      </c>
      <c r="Y28" s="28" t="str">
        <f t="shared" si="16"/>
        <v/>
      </c>
      <c r="Z28" s="28" t="str">
        <f t="shared" si="16"/>
        <v/>
      </c>
      <c r="AA28" s="28" t="str">
        <f t="shared" si="16"/>
        <v/>
      </c>
      <c r="AB28" s="28" t="str">
        <f t="shared" si="16"/>
        <v/>
      </c>
      <c r="AC28" s="28" t="str">
        <f t="shared" si="16"/>
        <v/>
      </c>
      <c r="AD28" s="28" t="str">
        <f t="shared" si="16"/>
        <v/>
      </c>
      <c r="AE28" s="28" t="str">
        <f t="shared" si="16"/>
        <v/>
      </c>
      <c r="AF28" s="28" t="str">
        <f t="shared" si="16"/>
        <v/>
      </c>
      <c r="AG28" s="28" t="str">
        <f t="shared" si="16"/>
        <v/>
      </c>
      <c r="AH28" s="28" t="str">
        <f t="shared" si="16"/>
        <v/>
      </c>
      <c r="AI28" s="28" t="str">
        <f t="shared" si="16"/>
        <v/>
      </c>
      <c r="AJ28" s="28" t="str">
        <f t="shared" si="16"/>
        <v/>
      </c>
      <c r="AK28" s="28" t="str">
        <f t="shared" si="16"/>
        <v/>
      </c>
      <c r="AL28" s="28" t="str">
        <f t="shared" si="16"/>
        <v/>
      </c>
      <c r="AM28" s="28" t="str">
        <f t="shared" si="16"/>
        <v/>
      </c>
      <c r="AN28" s="28" t="str">
        <f t="shared" si="16"/>
        <v/>
      </c>
      <c r="AO28" s="28" t="str">
        <f t="shared" si="16"/>
        <v/>
      </c>
      <c r="AP28" s="28" t="str">
        <f t="shared" si="16"/>
        <v/>
      </c>
      <c r="AQ28" s="28" t="str">
        <f t="shared" si="16"/>
        <v/>
      </c>
      <c r="AR28" s="28" t="str">
        <f t="shared" si="16"/>
        <v/>
      </c>
      <c r="AS28" s="28" t="str">
        <f t="shared" si="16"/>
        <v/>
      </c>
      <c r="AT28" s="28" t="str">
        <f t="shared" si="16"/>
        <v/>
      </c>
      <c r="AU28" s="28" t="str">
        <f t="shared" si="16"/>
        <v/>
      </c>
      <c r="AV28" s="28" t="str">
        <f t="shared" si="16"/>
        <v/>
      </c>
      <c r="AW28" s="28" t="str">
        <f t="shared" si="16"/>
        <v/>
      </c>
      <c r="AX28" s="28" t="str">
        <f t="shared" si="16"/>
        <v/>
      </c>
      <c r="AY28" s="28" t="str">
        <f t="shared" si="16"/>
        <v/>
      </c>
      <c r="AZ28" s="28" t="str">
        <f t="shared" si="16"/>
        <v/>
      </c>
      <c r="BA28" s="28" t="str">
        <f t="shared" si="16"/>
        <v/>
      </c>
      <c r="BB28" s="28" t="str">
        <f t="shared" si="16"/>
        <v/>
      </c>
      <c r="BC28" s="28" t="str">
        <f t="shared" si="16"/>
        <v/>
      </c>
      <c r="BD28" s="28" t="str">
        <f t="shared" si="16"/>
        <v/>
      </c>
      <c r="BE28" s="28" t="str">
        <f t="shared" si="16"/>
        <v/>
      </c>
      <c r="BF28" s="28" t="str">
        <f t="shared" si="16"/>
        <v/>
      </c>
      <c r="BG28" s="28" t="str">
        <f t="shared" si="16"/>
        <v/>
      </c>
      <c r="BH28" s="28" t="str">
        <f t="shared" si="16"/>
        <v/>
      </c>
      <c r="BI28" s="28" t="str">
        <f t="shared" si="16"/>
        <v/>
      </c>
      <c r="BJ28" s="28" t="str">
        <f t="shared" si="16"/>
        <v/>
      </c>
      <c r="BK28" s="28" t="str">
        <f t="shared" si="16"/>
        <v/>
      </c>
      <c r="BL28" s="28" t="str">
        <f t="shared" si="16"/>
        <v/>
      </c>
      <c r="BM28" s="28" t="str">
        <f t="shared" si="16"/>
        <v/>
      </c>
      <c r="BN28" s="28" t="str">
        <f t="shared" si="16"/>
        <v/>
      </c>
      <c r="BO28" s="28" t="str">
        <f t="shared" ref="BO28:CF28" si="17">IF(BN16&lt;保险期间,BN38,"")</f>
        <v/>
      </c>
      <c r="BP28" s="28" t="str">
        <f t="shared" si="17"/>
        <v/>
      </c>
      <c r="BQ28" s="28" t="str">
        <f t="shared" si="17"/>
        <v/>
      </c>
      <c r="BR28" s="28" t="str">
        <f t="shared" si="17"/>
        <v/>
      </c>
      <c r="BS28" s="28" t="str">
        <f t="shared" si="17"/>
        <v/>
      </c>
      <c r="BT28" s="28" t="str">
        <f t="shared" si="17"/>
        <v/>
      </c>
      <c r="BU28" s="28" t="str">
        <f t="shared" si="17"/>
        <v/>
      </c>
      <c r="BV28" s="28" t="str">
        <f t="shared" si="17"/>
        <v/>
      </c>
      <c r="BW28" s="28" t="str">
        <f t="shared" si="17"/>
        <v/>
      </c>
      <c r="BX28" s="28" t="str">
        <f t="shared" si="17"/>
        <v/>
      </c>
      <c r="BY28" s="28" t="str">
        <f t="shared" si="17"/>
        <v/>
      </c>
      <c r="BZ28" s="28" t="str">
        <f t="shared" si="17"/>
        <v/>
      </c>
      <c r="CA28" s="28" t="str">
        <f t="shared" si="17"/>
        <v/>
      </c>
      <c r="CB28" s="28" t="str">
        <f t="shared" si="17"/>
        <v/>
      </c>
      <c r="CC28" s="28" t="str">
        <f t="shared" si="17"/>
        <v/>
      </c>
      <c r="CD28" s="28" t="str">
        <f t="shared" si="17"/>
        <v/>
      </c>
      <c r="CE28" s="28" t="str">
        <f t="shared" si="17"/>
        <v/>
      </c>
      <c r="CF28" s="28" t="str">
        <f t="shared" si="17"/>
        <v/>
      </c>
    </row>
    <row r="29" spans="1:89" outlineLevel="1">
      <c r="A29" s="10" t="s">
        <v>27</v>
      </c>
      <c r="B29" s="28">
        <f>B28*测试保费*B19</f>
        <v>372912.66290629882</v>
      </c>
      <c r="C29" s="28">
        <f>IF(B16&lt;保险期间,C28*测试保费*C19,"")</f>
        <v>371360.45123821771</v>
      </c>
      <c r="D29" s="28">
        <f t="shared" ref="D29:AH29" si="18">IF(C16&lt;保险期间,D28*测试保费*D19,"")</f>
        <v>369653.97569268779</v>
      </c>
      <c r="E29" s="28">
        <f t="shared" si="18"/>
        <v>367753.36281126627</v>
      </c>
      <c r="F29" s="28">
        <f t="shared" si="18"/>
        <v>365617.45128005842</v>
      </c>
      <c r="G29" s="28">
        <f t="shared" si="18"/>
        <v>0</v>
      </c>
      <c r="H29" s="28">
        <f t="shared" si="18"/>
        <v>0</v>
      </c>
      <c r="I29" s="28">
        <f t="shared" si="18"/>
        <v>0</v>
      </c>
      <c r="J29" s="28">
        <f t="shared" si="18"/>
        <v>0</v>
      </c>
      <c r="K29" s="28">
        <f t="shared" si="18"/>
        <v>0</v>
      </c>
      <c r="L29" s="28" t="str">
        <f t="shared" si="18"/>
        <v/>
      </c>
      <c r="M29" s="28" t="str">
        <f t="shared" si="18"/>
        <v/>
      </c>
      <c r="N29" s="28" t="str">
        <f t="shared" si="18"/>
        <v/>
      </c>
      <c r="O29" s="28" t="str">
        <f t="shared" si="18"/>
        <v/>
      </c>
      <c r="P29" s="28" t="str">
        <f t="shared" si="18"/>
        <v/>
      </c>
      <c r="Q29" s="28" t="str">
        <f t="shared" si="18"/>
        <v/>
      </c>
      <c r="R29" s="28" t="str">
        <f t="shared" si="18"/>
        <v/>
      </c>
      <c r="S29" s="28" t="str">
        <f t="shared" si="18"/>
        <v/>
      </c>
      <c r="T29" s="28" t="str">
        <f t="shared" si="18"/>
        <v/>
      </c>
      <c r="U29" s="28" t="str">
        <f t="shared" si="18"/>
        <v/>
      </c>
      <c r="V29" s="28" t="str">
        <f t="shared" si="18"/>
        <v/>
      </c>
      <c r="W29" s="28" t="str">
        <f t="shared" si="18"/>
        <v/>
      </c>
      <c r="X29" s="28" t="str">
        <f t="shared" si="18"/>
        <v/>
      </c>
      <c r="Y29" s="28" t="str">
        <f t="shared" si="18"/>
        <v/>
      </c>
      <c r="Z29" s="28" t="str">
        <f t="shared" si="18"/>
        <v/>
      </c>
      <c r="AA29" s="28" t="str">
        <f t="shared" si="18"/>
        <v/>
      </c>
      <c r="AB29" s="28" t="str">
        <f t="shared" si="18"/>
        <v/>
      </c>
      <c r="AC29" s="28" t="str">
        <f t="shared" si="18"/>
        <v/>
      </c>
      <c r="AD29" s="28" t="str">
        <f t="shared" si="18"/>
        <v/>
      </c>
      <c r="AE29" s="28" t="str">
        <f t="shared" si="18"/>
        <v/>
      </c>
      <c r="AF29" s="28" t="str">
        <f t="shared" si="18"/>
        <v/>
      </c>
      <c r="AG29" s="28" t="str">
        <f t="shared" si="18"/>
        <v/>
      </c>
      <c r="AH29" s="28" t="str">
        <f t="shared" si="18"/>
        <v/>
      </c>
      <c r="AI29" s="28" t="str">
        <f t="shared" ref="AI29:BN29" si="19">IF(AH16&lt;保险期间,AI28*测试保费*AI19,"")</f>
        <v/>
      </c>
      <c r="AJ29" s="28" t="str">
        <f t="shared" si="19"/>
        <v/>
      </c>
      <c r="AK29" s="28" t="str">
        <f t="shared" si="19"/>
        <v/>
      </c>
      <c r="AL29" s="28" t="str">
        <f t="shared" si="19"/>
        <v/>
      </c>
      <c r="AM29" s="28" t="str">
        <f t="shared" si="19"/>
        <v/>
      </c>
      <c r="AN29" s="28" t="str">
        <f t="shared" si="19"/>
        <v/>
      </c>
      <c r="AO29" s="28" t="str">
        <f t="shared" si="19"/>
        <v/>
      </c>
      <c r="AP29" s="28" t="str">
        <f t="shared" si="19"/>
        <v/>
      </c>
      <c r="AQ29" s="28" t="str">
        <f t="shared" si="19"/>
        <v/>
      </c>
      <c r="AR29" s="28" t="str">
        <f t="shared" si="19"/>
        <v/>
      </c>
      <c r="AS29" s="28" t="str">
        <f t="shared" si="19"/>
        <v/>
      </c>
      <c r="AT29" s="28" t="str">
        <f t="shared" si="19"/>
        <v/>
      </c>
      <c r="AU29" s="28" t="str">
        <f t="shared" si="19"/>
        <v/>
      </c>
      <c r="AV29" s="28" t="str">
        <f t="shared" si="19"/>
        <v/>
      </c>
      <c r="AW29" s="28" t="str">
        <f t="shared" si="19"/>
        <v/>
      </c>
      <c r="AX29" s="28" t="str">
        <f t="shared" si="19"/>
        <v/>
      </c>
      <c r="AY29" s="28" t="str">
        <f t="shared" si="19"/>
        <v/>
      </c>
      <c r="AZ29" s="28" t="str">
        <f t="shared" si="19"/>
        <v/>
      </c>
      <c r="BA29" s="28" t="str">
        <f t="shared" si="19"/>
        <v/>
      </c>
      <c r="BB29" s="28" t="str">
        <f t="shared" si="19"/>
        <v/>
      </c>
      <c r="BC29" s="28" t="str">
        <f t="shared" si="19"/>
        <v/>
      </c>
      <c r="BD29" s="28" t="str">
        <f t="shared" si="19"/>
        <v/>
      </c>
      <c r="BE29" s="28" t="str">
        <f t="shared" si="19"/>
        <v/>
      </c>
      <c r="BF29" s="28" t="str">
        <f t="shared" si="19"/>
        <v/>
      </c>
      <c r="BG29" s="28" t="str">
        <f t="shared" si="19"/>
        <v/>
      </c>
      <c r="BH29" s="28" t="str">
        <f t="shared" si="19"/>
        <v/>
      </c>
      <c r="BI29" s="28" t="str">
        <f t="shared" si="19"/>
        <v/>
      </c>
      <c r="BJ29" s="28" t="str">
        <f t="shared" si="19"/>
        <v/>
      </c>
      <c r="BK29" s="28" t="str">
        <f t="shared" si="19"/>
        <v/>
      </c>
      <c r="BL29" s="28" t="str">
        <f t="shared" si="19"/>
        <v/>
      </c>
      <c r="BM29" s="28" t="str">
        <f t="shared" si="19"/>
        <v/>
      </c>
      <c r="BN29" s="28" t="str">
        <f t="shared" si="19"/>
        <v/>
      </c>
      <c r="BO29" s="28" t="str">
        <f t="shared" ref="BO29:CF29" si="20">IF(BN16&lt;保险期间,BO28*测试保费*BO19,"")</f>
        <v/>
      </c>
      <c r="BP29" s="28" t="str">
        <f t="shared" si="20"/>
        <v/>
      </c>
      <c r="BQ29" s="28" t="str">
        <f t="shared" si="20"/>
        <v/>
      </c>
      <c r="BR29" s="28" t="str">
        <f t="shared" si="20"/>
        <v/>
      </c>
      <c r="BS29" s="28" t="str">
        <f t="shared" si="20"/>
        <v/>
      </c>
      <c r="BT29" s="28" t="str">
        <f t="shared" si="20"/>
        <v/>
      </c>
      <c r="BU29" s="28" t="str">
        <f t="shared" si="20"/>
        <v/>
      </c>
      <c r="BV29" s="28" t="str">
        <f t="shared" si="20"/>
        <v/>
      </c>
      <c r="BW29" s="28" t="str">
        <f t="shared" si="20"/>
        <v/>
      </c>
      <c r="BX29" s="28" t="str">
        <f t="shared" si="20"/>
        <v/>
      </c>
      <c r="BY29" s="28" t="str">
        <f t="shared" si="20"/>
        <v/>
      </c>
      <c r="BZ29" s="28" t="str">
        <f t="shared" si="20"/>
        <v/>
      </c>
      <c r="CA29" s="28" t="str">
        <f t="shared" si="20"/>
        <v/>
      </c>
      <c r="CB29" s="28" t="str">
        <f t="shared" si="20"/>
        <v/>
      </c>
      <c r="CC29" s="28" t="str">
        <f t="shared" si="20"/>
        <v/>
      </c>
      <c r="CD29" s="28" t="str">
        <f t="shared" si="20"/>
        <v/>
      </c>
      <c r="CE29" s="28" t="str">
        <f t="shared" si="20"/>
        <v/>
      </c>
      <c r="CF29" s="28" t="str">
        <f t="shared" si="20"/>
        <v/>
      </c>
    </row>
    <row r="30" spans="1:89" outlineLevel="1">
      <c r="A30" s="23" t="s">
        <v>93</v>
      </c>
      <c r="B30" s="28">
        <f>B23*B29</f>
        <v>55936.899435944819</v>
      </c>
      <c r="C30" s="28">
        <f t="shared" ref="C30:AR30" si="21">IF(B16&lt;保险期间,C23*C29,"")</f>
        <v>18568.022561910886</v>
      </c>
      <c r="D30" s="28">
        <f t="shared" si="21"/>
        <v>18482.698784634391</v>
      </c>
      <c r="E30" s="28">
        <f t="shared" si="21"/>
        <v>18387.668140563314</v>
      </c>
      <c r="F30" s="28">
        <f t="shared" si="21"/>
        <v>18280.872564002922</v>
      </c>
      <c r="G30" s="28">
        <f t="shared" si="21"/>
        <v>0</v>
      </c>
      <c r="H30" s="28">
        <f t="shared" si="21"/>
        <v>0</v>
      </c>
      <c r="I30" s="28">
        <f t="shared" si="21"/>
        <v>0</v>
      </c>
      <c r="J30" s="28">
        <f t="shared" si="21"/>
        <v>0</v>
      </c>
      <c r="K30" s="28">
        <f t="shared" si="21"/>
        <v>0</v>
      </c>
      <c r="L30" s="28" t="str">
        <f t="shared" si="21"/>
        <v/>
      </c>
      <c r="M30" s="28" t="str">
        <f t="shared" si="21"/>
        <v/>
      </c>
      <c r="N30" s="28" t="str">
        <f t="shared" si="21"/>
        <v/>
      </c>
      <c r="O30" s="28" t="str">
        <f t="shared" si="21"/>
        <v/>
      </c>
      <c r="P30" s="28" t="str">
        <f t="shared" si="21"/>
        <v/>
      </c>
      <c r="Q30" s="28" t="str">
        <f t="shared" si="21"/>
        <v/>
      </c>
      <c r="R30" s="28" t="str">
        <f t="shared" si="21"/>
        <v/>
      </c>
      <c r="S30" s="28" t="str">
        <f t="shared" si="21"/>
        <v/>
      </c>
      <c r="T30" s="28" t="str">
        <f t="shared" si="21"/>
        <v/>
      </c>
      <c r="U30" s="28" t="str">
        <f t="shared" si="21"/>
        <v/>
      </c>
      <c r="V30" s="28" t="str">
        <f t="shared" si="21"/>
        <v/>
      </c>
      <c r="W30" s="28" t="str">
        <f t="shared" si="21"/>
        <v/>
      </c>
      <c r="X30" s="28" t="str">
        <f t="shared" si="21"/>
        <v/>
      </c>
      <c r="Y30" s="28" t="str">
        <f t="shared" si="21"/>
        <v/>
      </c>
      <c r="Z30" s="28" t="str">
        <f t="shared" si="21"/>
        <v/>
      </c>
      <c r="AA30" s="28" t="str">
        <f t="shared" si="21"/>
        <v/>
      </c>
      <c r="AB30" s="28" t="str">
        <f t="shared" si="21"/>
        <v/>
      </c>
      <c r="AC30" s="28" t="str">
        <f t="shared" si="21"/>
        <v/>
      </c>
      <c r="AD30" s="28" t="str">
        <f t="shared" si="21"/>
        <v/>
      </c>
      <c r="AE30" s="28" t="str">
        <f t="shared" si="21"/>
        <v/>
      </c>
      <c r="AF30" s="28" t="str">
        <f t="shared" si="21"/>
        <v/>
      </c>
      <c r="AG30" s="28" t="str">
        <f t="shared" si="21"/>
        <v/>
      </c>
      <c r="AH30" s="28" t="str">
        <f t="shared" si="21"/>
        <v/>
      </c>
      <c r="AI30" s="28" t="str">
        <f t="shared" si="21"/>
        <v/>
      </c>
      <c r="AJ30" s="28" t="str">
        <f t="shared" si="21"/>
        <v/>
      </c>
      <c r="AK30" s="28" t="str">
        <f t="shared" si="21"/>
        <v/>
      </c>
      <c r="AL30" s="28" t="str">
        <f t="shared" si="21"/>
        <v/>
      </c>
      <c r="AM30" s="28" t="str">
        <f t="shared" si="21"/>
        <v/>
      </c>
      <c r="AN30" s="28" t="str">
        <f t="shared" si="21"/>
        <v/>
      </c>
      <c r="AO30" s="28" t="str">
        <f t="shared" si="21"/>
        <v/>
      </c>
      <c r="AP30" s="28" t="str">
        <f t="shared" si="21"/>
        <v/>
      </c>
      <c r="AQ30" s="28" t="str">
        <f t="shared" si="21"/>
        <v/>
      </c>
      <c r="AR30" s="28" t="str">
        <f t="shared" si="21"/>
        <v/>
      </c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28"/>
      <c r="BF30" s="28"/>
      <c r="BG30" s="28"/>
      <c r="BH30" s="28"/>
      <c r="BI30" s="28"/>
      <c r="BJ30" s="28"/>
      <c r="BK30" s="28"/>
      <c r="BL30" s="28"/>
      <c r="BM30" s="28"/>
      <c r="BN30" s="28"/>
      <c r="BO30" s="28"/>
      <c r="BP30" s="28"/>
      <c r="BQ30" s="28"/>
      <c r="BR30" s="28"/>
      <c r="BS30" s="28"/>
      <c r="BT30" s="28"/>
      <c r="BU30" s="28"/>
      <c r="BV30" s="28"/>
      <c r="BW30" s="28"/>
      <c r="BX30" s="28"/>
      <c r="BY30" s="28"/>
      <c r="BZ30" s="28"/>
      <c r="CA30" s="28"/>
      <c r="CB30" s="28"/>
      <c r="CC30" s="28"/>
      <c r="CD30" s="28"/>
      <c r="CE30" s="28"/>
      <c r="CF30" s="28"/>
    </row>
    <row r="31" spans="1:89" outlineLevel="1">
      <c r="A31" s="23" t="s">
        <v>94</v>
      </c>
      <c r="B31" s="28">
        <f>B21*B28+B22*B28*B4/1000</f>
        <v>470000</v>
      </c>
      <c r="C31" s="28">
        <f t="shared" ref="C31:AR31" si="22">IF(B16&lt;保险期间,C21*C28+C22*C28*C4/1000,"")</f>
        <v>79667.008000000002</v>
      </c>
      <c r="D31" s="28">
        <f t="shared" si="22"/>
        <v>79300.922164838397</v>
      </c>
      <c r="E31" s="28">
        <f t="shared" si="22"/>
        <v>59169.891407576753</v>
      </c>
      <c r="F31" s="28">
        <f t="shared" si="22"/>
        <v>58826.232678281543</v>
      </c>
      <c r="G31" s="28">
        <f t="shared" si="22"/>
        <v>58438.967823313877</v>
      </c>
      <c r="H31" s="28">
        <f t="shared" si="22"/>
        <v>58003.574137443058</v>
      </c>
      <c r="I31" s="28">
        <f t="shared" si="22"/>
        <v>57516.80814328164</v>
      </c>
      <c r="J31" s="28">
        <f t="shared" si="22"/>
        <v>56976.288187074337</v>
      </c>
      <c r="K31" s="28">
        <f t="shared" si="22"/>
        <v>56379.58691614875</v>
      </c>
      <c r="L31" s="28" t="str">
        <f t="shared" si="22"/>
        <v/>
      </c>
      <c r="M31" s="28" t="str">
        <f t="shared" si="22"/>
        <v/>
      </c>
      <c r="N31" s="28" t="str">
        <f t="shared" si="22"/>
        <v/>
      </c>
      <c r="O31" s="28" t="str">
        <f t="shared" si="22"/>
        <v/>
      </c>
      <c r="P31" s="28" t="str">
        <f t="shared" si="22"/>
        <v/>
      </c>
      <c r="Q31" s="28" t="str">
        <f t="shared" si="22"/>
        <v/>
      </c>
      <c r="R31" s="28" t="str">
        <f t="shared" si="22"/>
        <v/>
      </c>
      <c r="S31" s="28" t="str">
        <f t="shared" si="22"/>
        <v/>
      </c>
      <c r="T31" s="28" t="str">
        <f t="shared" si="22"/>
        <v/>
      </c>
      <c r="U31" s="28" t="str">
        <f t="shared" si="22"/>
        <v/>
      </c>
      <c r="V31" s="28" t="str">
        <f t="shared" si="22"/>
        <v/>
      </c>
      <c r="W31" s="28" t="str">
        <f t="shared" si="22"/>
        <v/>
      </c>
      <c r="X31" s="28" t="str">
        <f t="shared" si="22"/>
        <v/>
      </c>
      <c r="Y31" s="28" t="str">
        <f t="shared" si="22"/>
        <v/>
      </c>
      <c r="Z31" s="28" t="str">
        <f t="shared" si="22"/>
        <v/>
      </c>
      <c r="AA31" s="28" t="str">
        <f t="shared" si="22"/>
        <v/>
      </c>
      <c r="AB31" s="28" t="str">
        <f t="shared" si="22"/>
        <v/>
      </c>
      <c r="AC31" s="28" t="str">
        <f t="shared" si="22"/>
        <v/>
      </c>
      <c r="AD31" s="28" t="str">
        <f t="shared" si="22"/>
        <v/>
      </c>
      <c r="AE31" s="28" t="str">
        <f t="shared" si="22"/>
        <v/>
      </c>
      <c r="AF31" s="28" t="str">
        <f t="shared" si="22"/>
        <v/>
      </c>
      <c r="AG31" s="28" t="str">
        <f t="shared" si="22"/>
        <v/>
      </c>
      <c r="AH31" s="28" t="str">
        <f t="shared" si="22"/>
        <v/>
      </c>
      <c r="AI31" s="28" t="str">
        <f t="shared" si="22"/>
        <v/>
      </c>
      <c r="AJ31" s="28" t="str">
        <f t="shared" si="22"/>
        <v/>
      </c>
      <c r="AK31" s="28" t="str">
        <f t="shared" si="22"/>
        <v/>
      </c>
      <c r="AL31" s="28" t="str">
        <f t="shared" si="22"/>
        <v/>
      </c>
      <c r="AM31" s="28" t="str">
        <f t="shared" si="22"/>
        <v/>
      </c>
      <c r="AN31" s="28" t="str">
        <f t="shared" si="22"/>
        <v/>
      </c>
      <c r="AO31" s="28" t="str">
        <f t="shared" si="22"/>
        <v/>
      </c>
      <c r="AP31" s="28" t="str">
        <f t="shared" si="22"/>
        <v/>
      </c>
      <c r="AQ31" s="28" t="str">
        <f t="shared" si="22"/>
        <v/>
      </c>
      <c r="AR31" s="28" t="str">
        <f t="shared" si="22"/>
        <v/>
      </c>
      <c r="AS31" s="28"/>
      <c r="AT31" s="28"/>
      <c r="AU31" s="28"/>
      <c r="AV31" s="28"/>
      <c r="AW31" s="28"/>
      <c r="AX31" s="28"/>
      <c r="AY31" s="28"/>
      <c r="AZ31" s="28"/>
      <c r="BA31" s="28"/>
      <c r="BB31" s="28"/>
      <c r="BC31" s="28"/>
      <c r="BD31" s="28"/>
      <c r="BE31" s="28"/>
      <c r="BF31" s="28"/>
      <c r="BG31" s="28"/>
      <c r="BH31" s="28"/>
      <c r="BI31" s="28"/>
      <c r="BJ31" s="28"/>
      <c r="BK31" s="28"/>
      <c r="BL31" s="28"/>
      <c r="BM31" s="28"/>
      <c r="BN31" s="28"/>
      <c r="BO31" s="28"/>
      <c r="BP31" s="28"/>
      <c r="BQ31" s="28"/>
      <c r="BR31" s="28"/>
      <c r="BS31" s="28"/>
      <c r="BT31" s="28"/>
      <c r="BU31" s="28"/>
      <c r="BV31" s="28"/>
      <c r="BW31" s="28"/>
      <c r="BX31" s="28"/>
      <c r="BY31" s="28"/>
      <c r="BZ31" s="28"/>
      <c r="CA31" s="28"/>
      <c r="CB31" s="28"/>
      <c r="CC31" s="28"/>
      <c r="CD31" s="28"/>
      <c r="CE31" s="28"/>
      <c r="CF31" s="28"/>
    </row>
    <row r="32" spans="1:89" outlineLevel="1">
      <c r="A32" s="23" t="s">
        <v>61</v>
      </c>
      <c r="B32" s="28">
        <f>SUM(B30,B31)</f>
        <v>525936.89943594486</v>
      </c>
      <c r="C32" s="28">
        <f t="shared" ref="C32:AH32" si="23">IF(C26&lt;=保险期间,SUM(C30,C31),"")</f>
        <v>98235.030561910884</v>
      </c>
      <c r="D32" s="28">
        <f t="shared" si="23"/>
        <v>97783.620949472795</v>
      </c>
      <c r="E32" s="28">
        <f t="shared" si="23"/>
        <v>77557.559548140067</v>
      </c>
      <c r="F32" s="28">
        <f t="shared" si="23"/>
        <v>77107.105242284466</v>
      </c>
      <c r="G32" s="28">
        <f t="shared" si="23"/>
        <v>58438.967823313877</v>
      </c>
      <c r="H32" s="28">
        <f t="shared" si="23"/>
        <v>58003.574137443058</v>
      </c>
      <c r="I32" s="28">
        <f t="shared" si="23"/>
        <v>57516.80814328164</v>
      </c>
      <c r="J32" s="28">
        <f t="shared" si="23"/>
        <v>56976.288187074337</v>
      </c>
      <c r="K32" s="28">
        <f t="shared" si="23"/>
        <v>56379.58691614875</v>
      </c>
      <c r="L32" s="28" t="str">
        <f t="shared" si="23"/>
        <v/>
      </c>
      <c r="M32" s="28" t="str">
        <f t="shared" si="23"/>
        <v/>
      </c>
      <c r="N32" s="28" t="str">
        <f t="shared" si="23"/>
        <v/>
      </c>
      <c r="O32" s="28" t="str">
        <f t="shared" si="23"/>
        <v/>
      </c>
      <c r="P32" s="28" t="str">
        <f t="shared" si="23"/>
        <v/>
      </c>
      <c r="Q32" s="28" t="str">
        <f t="shared" si="23"/>
        <v/>
      </c>
      <c r="R32" s="28" t="str">
        <f t="shared" si="23"/>
        <v/>
      </c>
      <c r="S32" s="28" t="str">
        <f t="shared" si="23"/>
        <v/>
      </c>
      <c r="T32" s="28" t="str">
        <f t="shared" si="23"/>
        <v/>
      </c>
      <c r="U32" s="28" t="str">
        <f t="shared" si="23"/>
        <v/>
      </c>
      <c r="V32" s="28" t="str">
        <f t="shared" si="23"/>
        <v/>
      </c>
      <c r="W32" s="28" t="str">
        <f t="shared" si="23"/>
        <v/>
      </c>
      <c r="X32" s="28" t="str">
        <f t="shared" si="23"/>
        <v/>
      </c>
      <c r="Y32" s="28" t="str">
        <f t="shared" si="23"/>
        <v/>
      </c>
      <c r="Z32" s="28" t="str">
        <f t="shared" si="23"/>
        <v/>
      </c>
      <c r="AA32" s="28" t="str">
        <f t="shared" si="23"/>
        <v/>
      </c>
      <c r="AB32" s="28" t="str">
        <f t="shared" si="23"/>
        <v/>
      </c>
      <c r="AC32" s="28" t="str">
        <f t="shared" si="23"/>
        <v/>
      </c>
      <c r="AD32" s="28" t="str">
        <f t="shared" si="23"/>
        <v/>
      </c>
      <c r="AE32" s="28" t="str">
        <f t="shared" si="23"/>
        <v/>
      </c>
      <c r="AF32" s="28" t="str">
        <f t="shared" si="23"/>
        <v/>
      </c>
      <c r="AG32" s="28" t="str">
        <f t="shared" si="23"/>
        <v/>
      </c>
      <c r="AH32" s="28" t="str">
        <f t="shared" si="23"/>
        <v/>
      </c>
      <c r="AI32" s="28" t="str">
        <f t="shared" ref="AI32:BN32" si="24">IF(AI26&lt;=保险期间,SUM(AI30,AI31),"")</f>
        <v/>
      </c>
      <c r="AJ32" s="28" t="str">
        <f t="shared" si="24"/>
        <v/>
      </c>
      <c r="AK32" s="28" t="str">
        <f t="shared" si="24"/>
        <v/>
      </c>
      <c r="AL32" s="28" t="str">
        <f t="shared" si="24"/>
        <v/>
      </c>
      <c r="AM32" s="28" t="str">
        <f t="shared" si="24"/>
        <v/>
      </c>
      <c r="AN32" s="28" t="str">
        <f t="shared" si="24"/>
        <v/>
      </c>
      <c r="AO32" s="28" t="str">
        <f t="shared" si="24"/>
        <v/>
      </c>
      <c r="AP32" s="28" t="str">
        <f t="shared" si="24"/>
        <v/>
      </c>
      <c r="AQ32" s="28" t="str">
        <f t="shared" si="24"/>
        <v/>
      </c>
      <c r="AR32" s="28" t="str">
        <f t="shared" si="24"/>
        <v/>
      </c>
      <c r="AS32" s="28" t="str">
        <f t="shared" si="24"/>
        <v/>
      </c>
      <c r="AT32" s="28" t="str">
        <f t="shared" si="24"/>
        <v/>
      </c>
      <c r="AU32" s="28" t="str">
        <f t="shared" si="24"/>
        <v/>
      </c>
      <c r="AV32" s="28" t="str">
        <f t="shared" si="24"/>
        <v/>
      </c>
      <c r="AW32" s="28" t="str">
        <f t="shared" si="24"/>
        <v/>
      </c>
      <c r="AX32" s="28" t="str">
        <f t="shared" si="24"/>
        <v/>
      </c>
      <c r="AY32" s="28" t="str">
        <f t="shared" si="24"/>
        <v/>
      </c>
      <c r="AZ32" s="28" t="str">
        <f t="shared" si="24"/>
        <v/>
      </c>
      <c r="BA32" s="28" t="str">
        <f t="shared" si="24"/>
        <v/>
      </c>
      <c r="BB32" s="28" t="str">
        <f t="shared" si="24"/>
        <v/>
      </c>
      <c r="BC32" s="28" t="str">
        <f t="shared" si="24"/>
        <v/>
      </c>
      <c r="BD32" s="28" t="str">
        <f t="shared" si="24"/>
        <v/>
      </c>
      <c r="BE32" s="28" t="str">
        <f t="shared" si="24"/>
        <v/>
      </c>
      <c r="BF32" s="28" t="str">
        <f t="shared" si="24"/>
        <v/>
      </c>
      <c r="BG32" s="28" t="str">
        <f t="shared" si="24"/>
        <v/>
      </c>
      <c r="BH32" s="28" t="str">
        <f t="shared" si="24"/>
        <v/>
      </c>
      <c r="BI32" s="28" t="str">
        <f t="shared" si="24"/>
        <v/>
      </c>
      <c r="BJ32" s="28" t="str">
        <f t="shared" si="24"/>
        <v/>
      </c>
      <c r="BK32" s="28" t="str">
        <f t="shared" si="24"/>
        <v/>
      </c>
      <c r="BL32" s="28" t="str">
        <f t="shared" si="24"/>
        <v/>
      </c>
      <c r="BM32" s="28" t="str">
        <f t="shared" si="24"/>
        <v/>
      </c>
      <c r="BN32" s="28" t="str">
        <f t="shared" si="24"/>
        <v/>
      </c>
      <c r="BO32" s="28" t="str">
        <f t="shared" ref="BO32:CK32" si="25">IF(BO26&lt;=保险期间,SUM(BO30,BO31),"")</f>
        <v/>
      </c>
      <c r="BP32" s="28" t="str">
        <f t="shared" si="25"/>
        <v/>
      </c>
      <c r="BQ32" s="28" t="str">
        <f t="shared" si="25"/>
        <v/>
      </c>
      <c r="BR32" s="28" t="str">
        <f t="shared" si="25"/>
        <v/>
      </c>
      <c r="BS32" s="28" t="str">
        <f t="shared" si="25"/>
        <v/>
      </c>
      <c r="BT32" s="28" t="str">
        <f t="shared" si="25"/>
        <v/>
      </c>
      <c r="BU32" s="28" t="str">
        <f t="shared" si="25"/>
        <v/>
      </c>
      <c r="BV32" s="28" t="str">
        <f t="shared" si="25"/>
        <v/>
      </c>
      <c r="BW32" s="28" t="str">
        <f t="shared" si="25"/>
        <v/>
      </c>
      <c r="BX32" s="28" t="str">
        <f t="shared" si="25"/>
        <v/>
      </c>
      <c r="BY32" s="28" t="str">
        <f t="shared" si="25"/>
        <v/>
      </c>
      <c r="BZ32" s="28" t="str">
        <f t="shared" si="25"/>
        <v/>
      </c>
      <c r="CA32" s="28" t="str">
        <f t="shared" si="25"/>
        <v/>
      </c>
      <c r="CB32" s="28" t="str">
        <f t="shared" si="25"/>
        <v/>
      </c>
      <c r="CC32" s="28" t="str">
        <f t="shared" si="25"/>
        <v/>
      </c>
      <c r="CD32" s="28" t="str">
        <f t="shared" si="25"/>
        <v/>
      </c>
      <c r="CE32" s="28" t="str">
        <f t="shared" si="25"/>
        <v/>
      </c>
      <c r="CF32" s="28" t="str">
        <f t="shared" si="25"/>
        <v/>
      </c>
      <c r="CG32" s="28">
        <f t="shared" si="25"/>
        <v>0</v>
      </c>
      <c r="CH32" s="28">
        <f t="shared" si="25"/>
        <v>0</v>
      </c>
      <c r="CI32" s="28">
        <f t="shared" si="25"/>
        <v>0</v>
      </c>
      <c r="CJ32" s="28">
        <f t="shared" si="25"/>
        <v>0</v>
      </c>
      <c r="CK32" s="28">
        <f t="shared" si="25"/>
        <v>0</v>
      </c>
    </row>
    <row r="33" spans="1:84" outlineLevel="1">
      <c r="A33" s="10" t="s">
        <v>28</v>
      </c>
      <c r="B33" s="28">
        <f>B27+B29-B32</f>
        <v>846975.76347035402</v>
      </c>
      <c r="C33" s="28">
        <f t="shared" ref="C33:AH33" si="26">IF(B16&lt;保险期间,C27+C29-C32,"")</f>
        <v>1120825.9723201785</v>
      </c>
      <c r="D33" s="28">
        <f t="shared" si="26"/>
        <v>1402976.8962842023</v>
      </c>
      <c r="E33" s="28">
        <f t="shared" si="26"/>
        <v>1712354.8416861971</v>
      </c>
      <c r="F33" s="28">
        <f t="shared" si="26"/>
        <v>2029206.4749257467</v>
      </c>
      <c r="G33" s="28">
        <f t="shared" si="26"/>
        <v>2007683.6883541096</v>
      </c>
      <c r="H33" s="28">
        <f t="shared" si="26"/>
        <v>1977498.6843225691</v>
      </c>
      <c r="I33" s="28">
        <f t="shared" si="26"/>
        <v>1937729.1447018455</v>
      </c>
      <c r="J33" s="28">
        <f t="shared" si="26"/>
        <v>1887552.6543819795</v>
      </c>
      <c r="K33" s="28">
        <f t="shared" si="26"/>
        <v>1826100.4883639978</v>
      </c>
      <c r="L33" s="28" t="str">
        <f t="shared" si="26"/>
        <v/>
      </c>
      <c r="M33" s="28" t="str">
        <f t="shared" si="26"/>
        <v/>
      </c>
      <c r="N33" s="28" t="str">
        <f t="shared" si="26"/>
        <v/>
      </c>
      <c r="O33" s="28" t="str">
        <f t="shared" si="26"/>
        <v/>
      </c>
      <c r="P33" s="28" t="str">
        <f t="shared" si="26"/>
        <v/>
      </c>
      <c r="Q33" s="28" t="str">
        <f t="shared" si="26"/>
        <v/>
      </c>
      <c r="R33" s="28" t="str">
        <f t="shared" si="26"/>
        <v/>
      </c>
      <c r="S33" s="28" t="str">
        <f t="shared" si="26"/>
        <v/>
      </c>
      <c r="T33" s="28" t="str">
        <f t="shared" si="26"/>
        <v/>
      </c>
      <c r="U33" s="28" t="str">
        <f t="shared" si="26"/>
        <v/>
      </c>
      <c r="V33" s="28" t="str">
        <f t="shared" si="26"/>
        <v/>
      </c>
      <c r="W33" s="28" t="str">
        <f t="shared" si="26"/>
        <v/>
      </c>
      <c r="X33" s="28" t="str">
        <f t="shared" si="26"/>
        <v/>
      </c>
      <c r="Y33" s="28" t="str">
        <f t="shared" si="26"/>
        <v/>
      </c>
      <c r="Z33" s="28" t="str">
        <f t="shared" si="26"/>
        <v/>
      </c>
      <c r="AA33" s="28" t="str">
        <f t="shared" si="26"/>
        <v/>
      </c>
      <c r="AB33" s="28" t="str">
        <f t="shared" si="26"/>
        <v/>
      </c>
      <c r="AC33" s="28" t="str">
        <f t="shared" si="26"/>
        <v/>
      </c>
      <c r="AD33" s="28" t="str">
        <f t="shared" si="26"/>
        <v/>
      </c>
      <c r="AE33" s="28" t="str">
        <f t="shared" si="26"/>
        <v/>
      </c>
      <c r="AF33" s="28" t="str">
        <f t="shared" si="26"/>
        <v/>
      </c>
      <c r="AG33" s="28" t="str">
        <f t="shared" si="26"/>
        <v/>
      </c>
      <c r="AH33" s="28" t="str">
        <f t="shared" si="26"/>
        <v/>
      </c>
      <c r="AI33" s="28" t="str">
        <f t="shared" ref="AI33:BN33" si="27">IF(AH16&lt;保险期间,AI27+AI29-AI32,"")</f>
        <v/>
      </c>
      <c r="AJ33" s="28" t="str">
        <f t="shared" si="27"/>
        <v/>
      </c>
      <c r="AK33" s="28" t="str">
        <f t="shared" si="27"/>
        <v/>
      </c>
      <c r="AL33" s="28" t="str">
        <f t="shared" si="27"/>
        <v/>
      </c>
      <c r="AM33" s="28" t="str">
        <f t="shared" si="27"/>
        <v/>
      </c>
      <c r="AN33" s="28" t="str">
        <f t="shared" si="27"/>
        <v/>
      </c>
      <c r="AO33" s="28" t="str">
        <f t="shared" si="27"/>
        <v/>
      </c>
      <c r="AP33" s="28" t="str">
        <f t="shared" si="27"/>
        <v/>
      </c>
      <c r="AQ33" s="28" t="str">
        <f t="shared" si="27"/>
        <v/>
      </c>
      <c r="AR33" s="28" t="str">
        <f t="shared" si="27"/>
        <v/>
      </c>
      <c r="AS33" s="28" t="str">
        <f t="shared" si="27"/>
        <v/>
      </c>
      <c r="AT33" s="28" t="str">
        <f t="shared" si="27"/>
        <v/>
      </c>
      <c r="AU33" s="28" t="str">
        <f t="shared" si="27"/>
        <v/>
      </c>
      <c r="AV33" s="28" t="str">
        <f t="shared" si="27"/>
        <v/>
      </c>
      <c r="AW33" s="28" t="str">
        <f t="shared" si="27"/>
        <v/>
      </c>
      <c r="AX33" s="28" t="str">
        <f t="shared" si="27"/>
        <v/>
      </c>
      <c r="AY33" s="28" t="str">
        <f t="shared" si="27"/>
        <v/>
      </c>
      <c r="AZ33" s="28" t="str">
        <f t="shared" si="27"/>
        <v/>
      </c>
      <c r="BA33" s="28" t="str">
        <f t="shared" si="27"/>
        <v/>
      </c>
      <c r="BB33" s="28" t="str">
        <f t="shared" si="27"/>
        <v/>
      </c>
      <c r="BC33" s="28" t="str">
        <f t="shared" si="27"/>
        <v/>
      </c>
      <c r="BD33" s="28" t="str">
        <f t="shared" si="27"/>
        <v/>
      </c>
      <c r="BE33" s="28" t="str">
        <f t="shared" si="27"/>
        <v/>
      </c>
      <c r="BF33" s="28" t="str">
        <f t="shared" si="27"/>
        <v/>
      </c>
      <c r="BG33" s="28" t="str">
        <f t="shared" si="27"/>
        <v/>
      </c>
      <c r="BH33" s="28" t="str">
        <f t="shared" si="27"/>
        <v/>
      </c>
      <c r="BI33" s="28" t="str">
        <f t="shared" si="27"/>
        <v/>
      </c>
      <c r="BJ33" s="28" t="str">
        <f t="shared" si="27"/>
        <v/>
      </c>
      <c r="BK33" s="28" t="str">
        <f t="shared" si="27"/>
        <v/>
      </c>
      <c r="BL33" s="28" t="str">
        <f t="shared" si="27"/>
        <v/>
      </c>
      <c r="BM33" s="28" t="str">
        <f t="shared" si="27"/>
        <v/>
      </c>
      <c r="BN33" s="28" t="str">
        <f t="shared" si="27"/>
        <v/>
      </c>
      <c r="BO33" s="28" t="str">
        <f t="shared" ref="BO33:CF33" si="28">IF(BN16&lt;保险期间,BO27+BO29-BO32,"")</f>
        <v/>
      </c>
      <c r="BP33" s="28" t="str">
        <f t="shared" si="28"/>
        <v/>
      </c>
      <c r="BQ33" s="28" t="str">
        <f t="shared" si="28"/>
        <v/>
      </c>
      <c r="BR33" s="28" t="str">
        <f t="shared" si="28"/>
        <v/>
      </c>
      <c r="BS33" s="28" t="str">
        <f t="shared" si="28"/>
        <v/>
      </c>
      <c r="BT33" s="28" t="str">
        <f t="shared" si="28"/>
        <v/>
      </c>
      <c r="BU33" s="28" t="str">
        <f t="shared" si="28"/>
        <v/>
      </c>
      <c r="BV33" s="28" t="str">
        <f t="shared" si="28"/>
        <v/>
      </c>
      <c r="BW33" s="28" t="str">
        <f t="shared" si="28"/>
        <v/>
      </c>
      <c r="BX33" s="28" t="str">
        <f t="shared" si="28"/>
        <v/>
      </c>
      <c r="BY33" s="28" t="str">
        <f t="shared" si="28"/>
        <v/>
      </c>
      <c r="BZ33" s="28" t="str">
        <f t="shared" si="28"/>
        <v/>
      </c>
      <c r="CA33" s="28" t="str">
        <f t="shared" si="28"/>
        <v/>
      </c>
      <c r="CB33" s="28" t="str">
        <f t="shared" si="28"/>
        <v/>
      </c>
      <c r="CC33" s="28" t="str">
        <f t="shared" si="28"/>
        <v/>
      </c>
      <c r="CD33" s="28" t="str">
        <f t="shared" si="28"/>
        <v/>
      </c>
      <c r="CE33" s="28" t="str">
        <f t="shared" si="28"/>
        <v/>
      </c>
      <c r="CF33" s="28" t="str">
        <f t="shared" si="28"/>
        <v/>
      </c>
    </row>
    <row r="34" spans="1:84" outlineLevel="1">
      <c r="A34" s="10" t="s">
        <v>29</v>
      </c>
      <c r="B34" s="28">
        <f>B33*B18</f>
        <v>42348.788173517707</v>
      </c>
      <c r="C34" s="28">
        <f t="shared" ref="C34:BN34" si="29">IF(B16&lt;保险期间,C33*C18,"")</f>
        <v>56041.298616008928</v>
      </c>
      <c r="D34" s="28">
        <f t="shared" si="29"/>
        <v>70148.844814210126</v>
      </c>
      <c r="E34" s="28">
        <f t="shared" si="29"/>
        <v>85617.742084309866</v>
      </c>
      <c r="F34" s="28">
        <f t="shared" si="29"/>
        <v>101460.32374628734</v>
      </c>
      <c r="G34" s="28">
        <f t="shared" si="29"/>
        <v>100384.18441770549</v>
      </c>
      <c r="H34" s="28">
        <f t="shared" si="29"/>
        <v>98874.934216128459</v>
      </c>
      <c r="I34" s="28">
        <f t="shared" si="29"/>
        <v>96886.457235092283</v>
      </c>
      <c r="J34" s="28">
        <f t="shared" si="29"/>
        <v>94377.632719098983</v>
      </c>
      <c r="K34" s="28">
        <f t="shared" si="29"/>
        <v>91305.024418199901</v>
      </c>
      <c r="L34" s="28" t="str">
        <f t="shared" si="29"/>
        <v/>
      </c>
      <c r="M34" s="28" t="str">
        <f t="shared" si="29"/>
        <v/>
      </c>
      <c r="N34" s="28" t="str">
        <f t="shared" si="29"/>
        <v/>
      </c>
      <c r="O34" s="28" t="str">
        <f t="shared" si="29"/>
        <v/>
      </c>
      <c r="P34" s="28" t="str">
        <f t="shared" si="29"/>
        <v/>
      </c>
      <c r="Q34" s="28" t="str">
        <f t="shared" si="29"/>
        <v/>
      </c>
      <c r="R34" s="28" t="str">
        <f t="shared" si="29"/>
        <v/>
      </c>
      <c r="S34" s="28" t="str">
        <f t="shared" si="29"/>
        <v/>
      </c>
      <c r="T34" s="28" t="str">
        <f t="shared" si="29"/>
        <v/>
      </c>
      <c r="U34" s="28" t="str">
        <f t="shared" si="29"/>
        <v/>
      </c>
      <c r="V34" s="28" t="str">
        <f t="shared" si="29"/>
        <v/>
      </c>
      <c r="W34" s="28" t="str">
        <f t="shared" si="29"/>
        <v/>
      </c>
      <c r="X34" s="28" t="str">
        <f t="shared" si="29"/>
        <v/>
      </c>
      <c r="Y34" s="28" t="str">
        <f t="shared" si="29"/>
        <v/>
      </c>
      <c r="Z34" s="28" t="str">
        <f t="shared" si="29"/>
        <v/>
      </c>
      <c r="AA34" s="28" t="str">
        <f t="shared" si="29"/>
        <v/>
      </c>
      <c r="AB34" s="28" t="str">
        <f t="shared" si="29"/>
        <v/>
      </c>
      <c r="AC34" s="28" t="str">
        <f t="shared" si="29"/>
        <v/>
      </c>
      <c r="AD34" s="28" t="str">
        <f t="shared" si="29"/>
        <v/>
      </c>
      <c r="AE34" s="28" t="str">
        <f t="shared" si="29"/>
        <v/>
      </c>
      <c r="AF34" s="28" t="str">
        <f t="shared" si="29"/>
        <v/>
      </c>
      <c r="AG34" s="28" t="str">
        <f t="shared" si="29"/>
        <v/>
      </c>
      <c r="AH34" s="28" t="str">
        <f t="shared" si="29"/>
        <v/>
      </c>
      <c r="AI34" s="28" t="str">
        <f t="shared" si="29"/>
        <v/>
      </c>
      <c r="AJ34" s="28" t="str">
        <f t="shared" si="29"/>
        <v/>
      </c>
      <c r="AK34" s="28" t="str">
        <f t="shared" si="29"/>
        <v/>
      </c>
      <c r="AL34" s="28" t="str">
        <f t="shared" si="29"/>
        <v/>
      </c>
      <c r="AM34" s="28" t="str">
        <f t="shared" si="29"/>
        <v/>
      </c>
      <c r="AN34" s="28" t="str">
        <f t="shared" si="29"/>
        <v/>
      </c>
      <c r="AO34" s="28" t="str">
        <f t="shared" si="29"/>
        <v/>
      </c>
      <c r="AP34" s="28" t="str">
        <f t="shared" si="29"/>
        <v/>
      </c>
      <c r="AQ34" s="28" t="str">
        <f t="shared" si="29"/>
        <v/>
      </c>
      <c r="AR34" s="28" t="str">
        <f t="shared" si="29"/>
        <v/>
      </c>
      <c r="AS34" s="28" t="str">
        <f t="shared" si="29"/>
        <v/>
      </c>
      <c r="AT34" s="28" t="str">
        <f t="shared" si="29"/>
        <v/>
      </c>
      <c r="AU34" s="28" t="str">
        <f t="shared" si="29"/>
        <v/>
      </c>
      <c r="AV34" s="28" t="str">
        <f t="shared" si="29"/>
        <v/>
      </c>
      <c r="AW34" s="28" t="str">
        <f t="shared" si="29"/>
        <v/>
      </c>
      <c r="AX34" s="28" t="str">
        <f t="shared" si="29"/>
        <v/>
      </c>
      <c r="AY34" s="28" t="str">
        <f t="shared" si="29"/>
        <v/>
      </c>
      <c r="AZ34" s="28" t="str">
        <f t="shared" si="29"/>
        <v/>
      </c>
      <c r="BA34" s="28" t="str">
        <f t="shared" si="29"/>
        <v/>
      </c>
      <c r="BB34" s="28" t="str">
        <f t="shared" si="29"/>
        <v/>
      </c>
      <c r="BC34" s="28" t="str">
        <f t="shared" si="29"/>
        <v/>
      </c>
      <c r="BD34" s="28" t="str">
        <f t="shared" si="29"/>
        <v/>
      </c>
      <c r="BE34" s="28" t="str">
        <f t="shared" si="29"/>
        <v/>
      </c>
      <c r="BF34" s="28" t="str">
        <f t="shared" si="29"/>
        <v/>
      </c>
      <c r="BG34" s="28" t="str">
        <f t="shared" si="29"/>
        <v/>
      </c>
      <c r="BH34" s="28" t="str">
        <f t="shared" si="29"/>
        <v/>
      </c>
      <c r="BI34" s="28" t="str">
        <f t="shared" si="29"/>
        <v/>
      </c>
      <c r="BJ34" s="28" t="str">
        <f t="shared" si="29"/>
        <v/>
      </c>
      <c r="BK34" s="28" t="str">
        <f t="shared" si="29"/>
        <v/>
      </c>
      <c r="BL34" s="28" t="str">
        <f t="shared" si="29"/>
        <v/>
      </c>
      <c r="BM34" s="28" t="str">
        <f t="shared" si="29"/>
        <v/>
      </c>
      <c r="BN34" s="28" t="str">
        <f t="shared" si="29"/>
        <v/>
      </c>
      <c r="BO34" s="28" t="str">
        <f t="shared" ref="BO34:CF34" si="30">IF(BN16&lt;保险期间,BO33*BO18,"")</f>
        <v/>
      </c>
      <c r="BP34" s="28" t="str">
        <f t="shared" si="30"/>
        <v/>
      </c>
      <c r="BQ34" s="28" t="str">
        <f t="shared" si="30"/>
        <v/>
      </c>
      <c r="BR34" s="28" t="str">
        <f t="shared" si="30"/>
        <v/>
      </c>
      <c r="BS34" s="28" t="str">
        <f t="shared" si="30"/>
        <v/>
      </c>
      <c r="BT34" s="28" t="str">
        <f t="shared" si="30"/>
        <v/>
      </c>
      <c r="BU34" s="28" t="str">
        <f t="shared" si="30"/>
        <v/>
      </c>
      <c r="BV34" s="28" t="str">
        <f t="shared" si="30"/>
        <v/>
      </c>
      <c r="BW34" s="28" t="str">
        <f t="shared" si="30"/>
        <v/>
      </c>
      <c r="BX34" s="28" t="str">
        <f t="shared" si="30"/>
        <v/>
      </c>
      <c r="BY34" s="28" t="str">
        <f t="shared" si="30"/>
        <v/>
      </c>
      <c r="BZ34" s="28" t="str">
        <f t="shared" si="30"/>
        <v/>
      </c>
      <c r="CA34" s="28" t="str">
        <f t="shared" si="30"/>
        <v/>
      </c>
      <c r="CB34" s="28" t="str">
        <f t="shared" si="30"/>
        <v/>
      </c>
      <c r="CC34" s="28" t="str">
        <f t="shared" si="30"/>
        <v/>
      </c>
      <c r="CD34" s="28" t="str">
        <f t="shared" si="30"/>
        <v/>
      </c>
      <c r="CE34" s="28" t="str">
        <f t="shared" si="30"/>
        <v/>
      </c>
      <c r="CF34" s="28" t="str">
        <f t="shared" si="30"/>
        <v/>
      </c>
    </row>
    <row r="35" spans="1:84" outlineLevel="1">
      <c r="A35" s="10" t="s">
        <v>34</v>
      </c>
      <c r="B35" s="28">
        <f>B33+B34</f>
        <v>889324.5516438717</v>
      </c>
      <c r="C35" s="28">
        <f t="shared" ref="C35:BN35" si="31">IF(B16&lt;保险期间,C33+C34,"")</f>
        <v>1176867.2709361874</v>
      </c>
      <c r="D35" s="28">
        <f t="shared" si="31"/>
        <v>1473125.7410984125</v>
      </c>
      <c r="E35" s="28">
        <f t="shared" si="31"/>
        <v>1797972.583770507</v>
      </c>
      <c r="F35" s="28">
        <f t="shared" si="31"/>
        <v>2130666.7986720339</v>
      </c>
      <c r="G35" s="28">
        <f t="shared" si="31"/>
        <v>2108067.8727718149</v>
      </c>
      <c r="H35" s="28">
        <f t="shared" si="31"/>
        <v>2076373.6185386975</v>
      </c>
      <c r="I35" s="28">
        <f t="shared" si="31"/>
        <v>2034615.6019369378</v>
      </c>
      <c r="J35" s="28">
        <f t="shared" si="31"/>
        <v>1981930.2871010785</v>
      </c>
      <c r="K35" s="28">
        <f t="shared" si="31"/>
        <v>1917405.5127821977</v>
      </c>
      <c r="L35" s="28" t="str">
        <f t="shared" si="31"/>
        <v/>
      </c>
      <c r="M35" s="28" t="str">
        <f t="shared" si="31"/>
        <v/>
      </c>
      <c r="N35" s="28" t="str">
        <f t="shared" si="31"/>
        <v/>
      </c>
      <c r="O35" s="28" t="str">
        <f t="shared" si="31"/>
        <v/>
      </c>
      <c r="P35" s="28" t="str">
        <f t="shared" si="31"/>
        <v/>
      </c>
      <c r="Q35" s="28" t="str">
        <f t="shared" si="31"/>
        <v/>
      </c>
      <c r="R35" s="28" t="str">
        <f t="shared" si="31"/>
        <v/>
      </c>
      <c r="S35" s="28" t="str">
        <f t="shared" si="31"/>
        <v/>
      </c>
      <c r="T35" s="28" t="str">
        <f t="shared" si="31"/>
        <v/>
      </c>
      <c r="U35" s="28" t="str">
        <f t="shared" si="31"/>
        <v/>
      </c>
      <c r="V35" s="28" t="str">
        <f t="shared" si="31"/>
        <v/>
      </c>
      <c r="W35" s="28" t="str">
        <f t="shared" si="31"/>
        <v/>
      </c>
      <c r="X35" s="28" t="str">
        <f t="shared" si="31"/>
        <v/>
      </c>
      <c r="Y35" s="28" t="str">
        <f t="shared" si="31"/>
        <v/>
      </c>
      <c r="Z35" s="28" t="str">
        <f t="shared" si="31"/>
        <v/>
      </c>
      <c r="AA35" s="28" t="str">
        <f t="shared" si="31"/>
        <v/>
      </c>
      <c r="AB35" s="28" t="str">
        <f t="shared" si="31"/>
        <v/>
      </c>
      <c r="AC35" s="28" t="str">
        <f t="shared" si="31"/>
        <v/>
      </c>
      <c r="AD35" s="28" t="str">
        <f t="shared" si="31"/>
        <v/>
      </c>
      <c r="AE35" s="28" t="str">
        <f t="shared" si="31"/>
        <v/>
      </c>
      <c r="AF35" s="28" t="str">
        <f t="shared" si="31"/>
        <v/>
      </c>
      <c r="AG35" s="28" t="str">
        <f t="shared" si="31"/>
        <v/>
      </c>
      <c r="AH35" s="28" t="str">
        <f t="shared" si="31"/>
        <v/>
      </c>
      <c r="AI35" s="28" t="str">
        <f t="shared" si="31"/>
        <v/>
      </c>
      <c r="AJ35" s="28" t="str">
        <f t="shared" si="31"/>
        <v/>
      </c>
      <c r="AK35" s="28" t="str">
        <f t="shared" si="31"/>
        <v/>
      </c>
      <c r="AL35" s="28" t="str">
        <f t="shared" si="31"/>
        <v/>
      </c>
      <c r="AM35" s="28" t="str">
        <f t="shared" si="31"/>
        <v/>
      </c>
      <c r="AN35" s="28" t="str">
        <f t="shared" si="31"/>
        <v/>
      </c>
      <c r="AO35" s="28" t="str">
        <f t="shared" si="31"/>
        <v/>
      </c>
      <c r="AP35" s="28" t="str">
        <f t="shared" si="31"/>
        <v/>
      </c>
      <c r="AQ35" s="28" t="str">
        <f t="shared" si="31"/>
        <v/>
      </c>
      <c r="AR35" s="28" t="str">
        <f t="shared" si="31"/>
        <v/>
      </c>
      <c r="AS35" s="28" t="str">
        <f t="shared" si="31"/>
        <v/>
      </c>
      <c r="AT35" s="28" t="str">
        <f t="shared" si="31"/>
        <v/>
      </c>
      <c r="AU35" s="28" t="str">
        <f t="shared" si="31"/>
        <v/>
      </c>
      <c r="AV35" s="28" t="str">
        <f t="shared" si="31"/>
        <v/>
      </c>
      <c r="AW35" s="28" t="str">
        <f t="shared" si="31"/>
        <v/>
      </c>
      <c r="AX35" s="28" t="str">
        <f t="shared" si="31"/>
        <v/>
      </c>
      <c r="AY35" s="28" t="str">
        <f t="shared" si="31"/>
        <v/>
      </c>
      <c r="AZ35" s="28" t="str">
        <f t="shared" si="31"/>
        <v/>
      </c>
      <c r="BA35" s="28" t="str">
        <f t="shared" si="31"/>
        <v/>
      </c>
      <c r="BB35" s="28" t="str">
        <f t="shared" si="31"/>
        <v/>
      </c>
      <c r="BC35" s="28" t="str">
        <f t="shared" si="31"/>
        <v/>
      </c>
      <c r="BD35" s="28" t="str">
        <f t="shared" si="31"/>
        <v/>
      </c>
      <c r="BE35" s="28" t="str">
        <f t="shared" si="31"/>
        <v/>
      </c>
      <c r="BF35" s="28" t="str">
        <f t="shared" si="31"/>
        <v/>
      </c>
      <c r="BG35" s="28" t="str">
        <f t="shared" si="31"/>
        <v/>
      </c>
      <c r="BH35" s="28" t="str">
        <f t="shared" si="31"/>
        <v/>
      </c>
      <c r="BI35" s="28" t="str">
        <f t="shared" si="31"/>
        <v/>
      </c>
      <c r="BJ35" s="28" t="str">
        <f t="shared" si="31"/>
        <v/>
      </c>
      <c r="BK35" s="28" t="str">
        <f t="shared" si="31"/>
        <v/>
      </c>
      <c r="BL35" s="28" t="str">
        <f t="shared" si="31"/>
        <v/>
      </c>
      <c r="BM35" s="28" t="str">
        <f t="shared" si="31"/>
        <v/>
      </c>
      <c r="BN35" s="28" t="str">
        <f t="shared" si="31"/>
        <v/>
      </c>
      <c r="BO35" s="28" t="str">
        <f t="shared" ref="BO35:CF35" si="32">IF(BN16&lt;保险期间,BO33+BO34,"")</f>
        <v/>
      </c>
      <c r="BP35" s="28" t="str">
        <f t="shared" si="32"/>
        <v/>
      </c>
      <c r="BQ35" s="28" t="str">
        <f t="shared" si="32"/>
        <v/>
      </c>
      <c r="BR35" s="28" t="str">
        <f t="shared" si="32"/>
        <v/>
      </c>
      <c r="BS35" s="28" t="str">
        <f t="shared" si="32"/>
        <v/>
      </c>
      <c r="BT35" s="28" t="str">
        <f t="shared" si="32"/>
        <v/>
      </c>
      <c r="BU35" s="28" t="str">
        <f t="shared" si="32"/>
        <v/>
      </c>
      <c r="BV35" s="28" t="str">
        <f t="shared" si="32"/>
        <v/>
      </c>
      <c r="BW35" s="28" t="str">
        <f t="shared" si="32"/>
        <v/>
      </c>
      <c r="BX35" s="28" t="str">
        <f t="shared" si="32"/>
        <v/>
      </c>
      <c r="BY35" s="28" t="str">
        <f t="shared" si="32"/>
        <v/>
      </c>
      <c r="BZ35" s="28" t="str">
        <f t="shared" si="32"/>
        <v/>
      </c>
      <c r="CA35" s="28" t="str">
        <f t="shared" si="32"/>
        <v/>
      </c>
      <c r="CB35" s="28" t="str">
        <f t="shared" si="32"/>
        <v/>
      </c>
      <c r="CC35" s="28" t="str">
        <f t="shared" si="32"/>
        <v/>
      </c>
      <c r="CD35" s="28" t="str">
        <f t="shared" si="32"/>
        <v/>
      </c>
      <c r="CE35" s="28" t="str">
        <f t="shared" si="32"/>
        <v/>
      </c>
      <c r="CF35" s="28" t="str">
        <f t="shared" si="32"/>
        <v/>
      </c>
    </row>
    <row r="36" spans="1:84" outlineLevel="1">
      <c r="A36" s="10" t="s">
        <v>30</v>
      </c>
      <c r="B36" s="28">
        <f>B28*B17</f>
        <v>41.624000000000002</v>
      </c>
      <c r="C36" s="28">
        <f t="shared" ref="C36:BN36" si="33">IF(B16&lt;保险期间,C28*C17,"")</f>
        <v>45.760729395200002</v>
      </c>
      <c r="D36" s="28">
        <f t="shared" si="33"/>
        <v>50.966702675341644</v>
      </c>
      <c r="E36" s="28">
        <f t="shared" si="33"/>
        <v>57.276454882534303</v>
      </c>
      <c r="F36" s="28">
        <f t="shared" si="33"/>
        <v>64.544142494610512</v>
      </c>
      <c r="G36" s="28">
        <f t="shared" si="33"/>
        <v>72.56561431180296</v>
      </c>
      <c r="H36" s="28">
        <f t="shared" si="33"/>
        <v>81.127665693570364</v>
      </c>
      <c r="I36" s="28">
        <f t="shared" si="33"/>
        <v>90.086659367883925</v>
      </c>
      <c r="J36" s="28">
        <f t="shared" si="33"/>
        <v>99.450211820932026</v>
      </c>
      <c r="K36" s="28">
        <f t="shared" si="33"/>
        <v>109.31626039128469</v>
      </c>
      <c r="L36" s="28" t="str">
        <f t="shared" si="33"/>
        <v/>
      </c>
      <c r="M36" s="28" t="str">
        <f t="shared" si="33"/>
        <v/>
      </c>
      <c r="N36" s="28" t="str">
        <f t="shared" si="33"/>
        <v/>
      </c>
      <c r="O36" s="28" t="str">
        <f t="shared" si="33"/>
        <v/>
      </c>
      <c r="P36" s="28" t="str">
        <f t="shared" si="33"/>
        <v/>
      </c>
      <c r="Q36" s="28" t="str">
        <f t="shared" si="33"/>
        <v/>
      </c>
      <c r="R36" s="28" t="str">
        <f t="shared" si="33"/>
        <v/>
      </c>
      <c r="S36" s="28" t="str">
        <f t="shared" si="33"/>
        <v/>
      </c>
      <c r="T36" s="28" t="str">
        <f t="shared" si="33"/>
        <v/>
      </c>
      <c r="U36" s="28" t="str">
        <f t="shared" si="33"/>
        <v/>
      </c>
      <c r="V36" s="28" t="str">
        <f t="shared" si="33"/>
        <v/>
      </c>
      <c r="W36" s="28" t="str">
        <f t="shared" si="33"/>
        <v/>
      </c>
      <c r="X36" s="28" t="str">
        <f t="shared" si="33"/>
        <v/>
      </c>
      <c r="Y36" s="28" t="str">
        <f t="shared" si="33"/>
        <v/>
      </c>
      <c r="Z36" s="28" t="str">
        <f t="shared" si="33"/>
        <v/>
      </c>
      <c r="AA36" s="28" t="str">
        <f t="shared" si="33"/>
        <v/>
      </c>
      <c r="AB36" s="28" t="str">
        <f t="shared" si="33"/>
        <v/>
      </c>
      <c r="AC36" s="28" t="str">
        <f t="shared" si="33"/>
        <v/>
      </c>
      <c r="AD36" s="28" t="str">
        <f t="shared" si="33"/>
        <v/>
      </c>
      <c r="AE36" s="28" t="str">
        <f t="shared" si="33"/>
        <v/>
      </c>
      <c r="AF36" s="28" t="str">
        <f t="shared" si="33"/>
        <v/>
      </c>
      <c r="AG36" s="28" t="str">
        <f t="shared" si="33"/>
        <v/>
      </c>
      <c r="AH36" s="28" t="str">
        <f t="shared" si="33"/>
        <v/>
      </c>
      <c r="AI36" s="28" t="str">
        <f t="shared" si="33"/>
        <v/>
      </c>
      <c r="AJ36" s="28" t="str">
        <f t="shared" si="33"/>
        <v/>
      </c>
      <c r="AK36" s="28" t="str">
        <f t="shared" si="33"/>
        <v/>
      </c>
      <c r="AL36" s="28" t="str">
        <f t="shared" si="33"/>
        <v/>
      </c>
      <c r="AM36" s="28" t="str">
        <f t="shared" si="33"/>
        <v/>
      </c>
      <c r="AN36" s="28" t="str">
        <f t="shared" si="33"/>
        <v/>
      </c>
      <c r="AO36" s="28" t="str">
        <f t="shared" si="33"/>
        <v/>
      </c>
      <c r="AP36" s="28" t="str">
        <f t="shared" si="33"/>
        <v/>
      </c>
      <c r="AQ36" s="28" t="str">
        <f t="shared" si="33"/>
        <v/>
      </c>
      <c r="AR36" s="28" t="str">
        <f t="shared" si="33"/>
        <v/>
      </c>
      <c r="AS36" s="28" t="str">
        <f t="shared" si="33"/>
        <v/>
      </c>
      <c r="AT36" s="28" t="str">
        <f t="shared" si="33"/>
        <v/>
      </c>
      <c r="AU36" s="28" t="str">
        <f t="shared" si="33"/>
        <v/>
      </c>
      <c r="AV36" s="28" t="str">
        <f t="shared" si="33"/>
        <v/>
      </c>
      <c r="AW36" s="28" t="str">
        <f t="shared" si="33"/>
        <v/>
      </c>
      <c r="AX36" s="28" t="str">
        <f t="shared" si="33"/>
        <v/>
      </c>
      <c r="AY36" s="28" t="str">
        <f t="shared" si="33"/>
        <v/>
      </c>
      <c r="AZ36" s="28" t="str">
        <f t="shared" si="33"/>
        <v/>
      </c>
      <c r="BA36" s="28" t="str">
        <f t="shared" si="33"/>
        <v/>
      </c>
      <c r="BB36" s="28" t="str">
        <f t="shared" si="33"/>
        <v/>
      </c>
      <c r="BC36" s="28" t="str">
        <f t="shared" si="33"/>
        <v/>
      </c>
      <c r="BD36" s="28" t="str">
        <f t="shared" si="33"/>
        <v/>
      </c>
      <c r="BE36" s="28" t="str">
        <f t="shared" si="33"/>
        <v/>
      </c>
      <c r="BF36" s="28" t="str">
        <f t="shared" si="33"/>
        <v/>
      </c>
      <c r="BG36" s="28" t="str">
        <f t="shared" si="33"/>
        <v/>
      </c>
      <c r="BH36" s="28" t="str">
        <f t="shared" si="33"/>
        <v/>
      </c>
      <c r="BI36" s="28" t="str">
        <f t="shared" si="33"/>
        <v/>
      </c>
      <c r="BJ36" s="28" t="str">
        <f t="shared" si="33"/>
        <v/>
      </c>
      <c r="BK36" s="28" t="str">
        <f t="shared" si="33"/>
        <v/>
      </c>
      <c r="BL36" s="28" t="str">
        <f t="shared" si="33"/>
        <v/>
      </c>
      <c r="BM36" s="28" t="str">
        <f t="shared" si="33"/>
        <v/>
      </c>
      <c r="BN36" s="28" t="str">
        <f t="shared" si="33"/>
        <v/>
      </c>
      <c r="BO36" s="28" t="str">
        <f t="shared" ref="BO36:CF36" si="34">IF(BN16&lt;保险期间,BO28*BO17,"")</f>
        <v/>
      </c>
      <c r="BP36" s="28" t="str">
        <f t="shared" si="34"/>
        <v/>
      </c>
      <c r="BQ36" s="28" t="str">
        <f t="shared" si="34"/>
        <v/>
      </c>
      <c r="BR36" s="28" t="str">
        <f t="shared" si="34"/>
        <v/>
      </c>
      <c r="BS36" s="28" t="str">
        <f t="shared" si="34"/>
        <v/>
      </c>
      <c r="BT36" s="28" t="str">
        <f t="shared" si="34"/>
        <v/>
      </c>
      <c r="BU36" s="28" t="str">
        <f t="shared" si="34"/>
        <v/>
      </c>
      <c r="BV36" s="28" t="str">
        <f t="shared" si="34"/>
        <v/>
      </c>
      <c r="BW36" s="28" t="str">
        <f t="shared" si="34"/>
        <v/>
      </c>
      <c r="BX36" s="28" t="str">
        <f t="shared" si="34"/>
        <v/>
      </c>
      <c r="BY36" s="28" t="str">
        <f t="shared" si="34"/>
        <v/>
      </c>
      <c r="BZ36" s="28" t="str">
        <f t="shared" si="34"/>
        <v/>
      </c>
      <c r="CA36" s="28" t="str">
        <f t="shared" si="34"/>
        <v/>
      </c>
      <c r="CB36" s="28" t="str">
        <f t="shared" si="34"/>
        <v/>
      </c>
      <c r="CC36" s="28" t="str">
        <f t="shared" si="34"/>
        <v/>
      </c>
      <c r="CD36" s="28" t="str">
        <f t="shared" si="34"/>
        <v/>
      </c>
      <c r="CE36" s="28" t="str">
        <f t="shared" si="34"/>
        <v/>
      </c>
      <c r="CF36" s="28" t="str">
        <f t="shared" si="34"/>
        <v/>
      </c>
    </row>
    <row r="37" spans="1:84" outlineLevel="1">
      <c r="A37" s="10" t="s">
        <v>31</v>
      </c>
      <c r="B37" s="28">
        <f>B36*保额</f>
        <v>41624</v>
      </c>
      <c r="C37" s="28">
        <f t="shared" ref="C37:BN37" si="35">IF(B16&lt;保险期间,C36*保额,"")</f>
        <v>45760.729395200004</v>
      </c>
      <c r="D37" s="28">
        <f t="shared" si="35"/>
        <v>50966.702675341643</v>
      </c>
      <c r="E37" s="28">
        <f t="shared" si="35"/>
        <v>57276.454882534301</v>
      </c>
      <c r="F37" s="28">
        <f t="shared" si="35"/>
        <v>64544.142494610511</v>
      </c>
      <c r="G37" s="28">
        <f t="shared" si="35"/>
        <v>72565.614311802958</v>
      </c>
      <c r="H37" s="28">
        <f t="shared" si="35"/>
        <v>81127.665693570365</v>
      </c>
      <c r="I37" s="28">
        <f t="shared" si="35"/>
        <v>90086.659367883927</v>
      </c>
      <c r="J37" s="28">
        <f t="shared" si="35"/>
        <v>99450.211820932032</v>
      </c>
      <c r="K37" s="28">
        <f t="shared" si="35"/>
        <v>109316.26039128468</v>
      </c>
      <c r="L37" s="28" t="str">
        <f t="shared" si="35"/>
        <v/>
      </c>
      <c r="M37" s="28" t="str">
        <f t="shared" si="35"/>
        <v/>
      </c>
      <c r="N37" s="28" t="str">
        <f t="shared" si="35"/>
        <v/>
      </c>
      <c r="O37" s="28" t="str">
        <f t="shared" si="35"/>
        <v/>
      </c>
      <c r="P37" s="28" t="str">
        <f t="shared" si="35"/>
        <v/>
      </c>
      <c r="Q37" s="28" t="str">
        <f t="shared" si="35"/>
        <v/>
      </c>
      <c r="R37" s="28" t="str">
        <f t="shared" si="35"/>
        <v/>
      </c>
      <c r="S37" s="28" t="str">
        <f t="shared" si="35"/>
        <v/>
      </c>
      <c r="T37" s="28" t="str">
        <f t="shared" si="35"/>
        <v/>
      </c>
      <c r="U37" s="28" t="str">
        <f t="shared" si="35"/>
        <v/>
      </c>
      <c r="V37" s="28" t="str">
        <f t="shared" si="35"/>
        <v/>
      </c>
      <c r="W37" s="28" t="str">
        <f t="shared" si="35"/>
        <v/>
      </c>
      <c r="X37" s="28" t="str">
        <f t="shared" si="35"/>
        <v/>
      </c>
      <c r="Y37" s="28" t="str">
        <f t="shared" si="35"/>
        <v/>
      </c>
      <c r="Z37" s="28" t="str">
        <f t="shared" si="35"/>
        <v/>
      </c>
      <c r="AA37" s="28" t="str">
        <f t="shared" si="35"/>
        <v/>
      </c>
      <c r="AB37" s="28" t="str">
        <f t="shared" si="35"/>
        <v/>
      </c>
      <c r="AC37" s="28" t="str">
        <f t="shared" si="35"/>
        <v/>
      </c>
      <c r="AD37" s="28" t="str">
        <f t="shared" si="35"/>
        <v/>
      </c>
      <c r="AE37" s="28" t="str">
        <f t="shared" si="35"/>
        <v/>
      </c>
      <c r="AF37" s="28" t="str">
        <f t="shared" si="35"/>
        <v/>
      </c>
      <c r="AG37" s="28" t="str">
        <f t="shared" si="35"/>
        <v/>
      </c>
      <c r="AH37" s="28" t="str">
        <f t="shared" si="35"/>
        <v/>
      </c>
      <c r="AI37" s="28" t="str">
        <f t="shared" si="35"/>
        <v/>
      </c>
      <c r="AJ37" s="28" t="str">
        <f t="shared" si="35"/>
        <v/>
      </c>
      <c r="AK37" s="28" t="str">
        <f t="shared" si="35"/>
        <v/>
      </c>
      <c r="AL37" s="28" t="str">
        <f t="shared" si="35"/>
        <v/>
      </c>
      <c r="AM37" s="28" t="str">
        <f t="shared" si="35"/>
        <v/>
      </c>
      <c r="AN37" s="28" t="str">
        <f t="shared" si="35"/>
        <v/>
      </c>
      <c r="AO37" s="28" t="str">
        <f t="shared" si="35"/>
        <v/>
      </c>
      <c r="AP37" s="28" t="str">
        <f t="shared" si="35"/>
        <v/>
      </c>
      <c r="AQ37" s="28" t="str">
        <f t="shared" si="35"/>
        <v/>
      </c>
      <c r="AR37" s="28" t="str">
        <f t="shared" si="35"/>
        <v/>
      </c>
      <c r="AS37" s="28" t="str">
        <f t="shared" si="35"/>
        <v/>
      </c>
      <c r="AT37" s="28" t="str">
        <f t="shared" si="35"/>
        <v/>
      </c>
      <c r="AU37" s="28" t="str">
        <f t="shared" si="35"/>
        <v/>
      </c>
      <c r="AV37" s="28" t="str">
        <f t="shared" si="35"/>
        <v/>
      </c>
      <c r="AW37" s="28" t="str">
        <f t="shared" si="35"/>
        <v/>
      </c>
      <c r="AX37" s="28" t="str">
        <f t="shared" si="35"/>
        <v/>
      </c>
      <c r="AY37" s="28" t="str">
        <f t="shared" si="35"/>
        <v/>
      </c>
      <c r="AZ37" s="28" t="str">
        <f t="shared" si="35"/>
        <v/>
      </c>
      <c r="BA37" s="28" t="str">
        <f t="shared" si="35"/>
        <v/>
      </c>
      <c r="BB37" s="28" t="str">
        <f t="shared" si="35"/>
        <v/>
      </c>
      <c r="BC37" s="28" t="str">
        <f t="shared" si="35"/>
        <v/>
      </c>
      <c r="BD37" s="28" t="str">
        <f t="shared" si="35"/>
        <v/>
      </c>
      <c r="BE37" s="28" t="str">
        <f t="shared" si="35"/>
        <v/>
      </c>
      <c r="BF37" s="28" t="str">
        <f t="shared" si="35"/>
        <v/>
      </c>
      <c r="BG37" s="28" t="str">
        <f t="shared" si="35"/>
        <v/>
      </c>
      <c r="BH37" s="28" t="str">
        <f t="shared" si="35"/>
        <v/>
      </c>
      <c r="BI37" s="28" t="str">
        <f t="shared" si="35"/>
        <v/>
      </c>
      <c r="BJ37" s="28" t="str">
        <f t="shared" si="35"/>
        <v/>
      </c>
      <c r="BK37" s="28" t="str">
        <f t="shared" si="35"/>
        <v/>
      </c>
      <c r="BL37" s="28" t="str">
        <f t="shared" si="35"/>
        <v/>
      </c>
      <c r="BM37" s="28" t="str">
        <f t="shared" si="35"/>
        <v/>
      </c>
      <c r="BN37" s="28" t="str">
        <f t="shared" si="35"/>
        <v/>
      </c>
      <c r="BO37" s="28" t="str">
        <f t="shared" ref="BO37:CF37" si="36">IF(BN16&lt;保险期间,BO36*保额,"")</f>
        <v/>
      </c>
      <c r="BP37" s="28" t="str">
        <f t="shared" si="36"/>
        <v/>
      </c>
      <c r="BQ37" s="28" t="str">
        <f t="shared" si="36"/>
        <v/>
      </c>
      <c r="BR37" s="28" t="str">
        <f t="shared" si="36"/>
        <v/>
      </c>
      <c r="BS37" s="28" t="str">
        <f t="shared" si="36"/>
        <v/>
      </c>
      <c r="BT37" s="28" t="str">
        <f t="shared" si="36"/>
        <v/>
      </c>
      <c r="BU37" s="28" t="str">
        <f t="shared" si="36"/>
        <v/>
      </c>
      <c r="BV37" s="28" t="str">
        <f t="shared" si="36"/>
        <v/>
      </c>
      <c r="BW37" s="28" t="str">
        <f t="shared" si="36"/>
        <v/>
      </c>
      <c r="BX37" s="28" t="str">
        <f t="shared" si="36"/>
        <v/>
      </c>
      <c r="BY37" s="28" t="str">
        <f t="shared" si="36"/>
        <v/>
      </c>
      <c r="BZ37" s="28" t="str">
        <f t="shared" si="36"/>
        <v/>
      </c>
      <c r="CA37" s="28" t="str">
        <f t="shared" si="36"/>
        <v/>
      </c>
      <c r="CB37" s="28" t="str">
        <f t="shared" si="36"/>
        <v/>
      </c>
      <c r="CC37" s="28" t="str">
        <f t="shared" si="36"/>
        <v/>
      </c>
      <c r="CD37" s="28" t="str">
        <f t="shared" si="36"/>
        <v/>
      </c>
      <c r="CE37" s="28" t="str">
        <f t="shared" si="36"/>
        <v/>
      </c>
      <c r="CF37" s="28" t="str">
        <f t="shared" si="36"/>
        <v/>
      </c>
    </row>
    <row r="38" spans="1:84" outlineLevel="1">
      <c r="A38" s="10" t="s">
        <v>32</v>
      </c>
      <c r="B38" s="28">
        <f>B28-B36</f>
        <v>9958.3760000000002</v>
      </c>
      <c r="C38" s="28">
        <f t="shared" ref="C38:BN38" si="37">IF(B16&lt;保险期间,C28-C36,"")</f>
        <v>9912.6152706047997</v>
      </c>
      <c r="D38" s="28">
        <f t="shared" si="37"/>
        <v>9861.6485679294583</v>
      </c>
      <c r="E38" s="28">
        <f t="shared" si="37"/>
        <v>9804.3721130469239</v>
      </c>
      <c r="F38" s="28">
        <f t="shared" si="37"/>
        <v>9739.8279705523128</v>
      </c>
      <c r="G38" s="28">
        <f t="shared" si="37"/>
        <v>9667.2623562405097</v>
      </c>
      <c r="H38" s="28">
        <f t="shared" si="37"/>
        <v>9586.13469054694</v>
      </c>
      <c r="I38" s="28">
        <f t="shared" si="37"/>
        <v>9496.0480311790561</v>
      </c>
      <c r="J38" s="28">
        <f t="shared" si="37"/>
        <v>9396.597819358125</v>
      </c>
      <c r="K38" s="28">
        <f t="shared" si="37"/>
        <v>9287.2815589668407</v>
      </c>
      <c r="L38" s="28" t="str">
        <f t="shared" si="37"/>
        <v/>
      </c>
      <c r="M38" s="28" t="str">
        <f t="shared" si="37"/>
        <v/>
      </c>
      <c r="N38" s="28" t="str">
        <f t="shared" si="37"/>
        <v/>
      </c>
      <c r="O38" s="28" t="str">
        <f t="shared" si="37"/>
        <v/>
      </c>
      <c r="P38" s="28" t="str">
        <f t="shared" si="37"/>
        <v/>
      </c>
      <c r="Q38" s="28" t="str">
        <f t="shared" si="37"/>
        <v/>
      </c>
      <c r="R38" s="28" t="str">
        <f t="shared" si="37"/>
        <v/>
      </c>
      <c r="S38" s="28" t="str">
        <f t="shared" si="37"/>
        <v/>
      </c>
      <c r="T38" s="28" t="str">
        <f t="shared" si="37"/>
        <v/>
      </c>
      <c r="U38" s="28" t="str">
        <f t="shared" si="37"/>
        <v/>
      </c>
      <c r="V38" s="28" t="str">
        <f t="shared" si="37"/>
        <v/>
      </c>
      <c r="W38" s="28" t="str">
        <f t="shared" si="37"/>
        <v/>
      </c>
      <c r="X38" s="28" t="str">
        <f t="shared" si="37"/>
        <v/>
      </c>
      <c r="Y38" s="28" t="str">
        <f t="shared" si="37"/>
        <v/>
      </c>
      <c r="Z38" s="28" t="str">
        <f t="shared" si="37"/>
        <v/>
      </c>
      <c r="AA38" s="28" t="str">
        <f t="shared" si="37"/>
        <v/>
      </c>
      <c r="AB38" s="28" t="str">
        <f t="shared" si="37"/>
        <v/>
      </c>
      <c r="AC38" s="28" t="str">
        <f t="shared" si="37"/>
        <v/>
      </c>
      <c r="AD38" s="28" t="str">
        <f t="shared" si="37"/>
        <v/>
      </c>
      <c r="AE38" s="28" t="str">
        <f t="shared" si="37"/>
        <v/>
      </c>
      <c r="AF38" s="28" t="str">
        <f t="shared" si="37"/>
        <v/>
      </c>
      <c r="AG38" s="28" t="str">
        <f t="shared" si="37"/>
        <v/>
      </c>
      <c r="AH38" s="28" t="str">
        <f t="shared" si="37"/>
        <v/>
      </c>
      <c r="AI38" s="28" t="str">
        <f t="shared" si="37"/>
        <v/>
      </c>
      <c r="AJ38" s="28" t="str">
        <f t="shared" si="37"/>
        <v/>
      </c>
      <c r="AK38" s="28" t="str">
        <f t="shared" si="37"/>
        <v/>
      </c>
      <c r="AL38" s="28" t="str">
        <f t="shared" si="37"/>
        <v/>
      </c>
      <c r="AM38" s="28" t="str">
        <f t="shared" si="37"/>
        <v/>
      </c>
      <c r="AN38" s="28" t="str">
        <f t="shared" si="37"/>
        <v/>
      </c>
      <c r="AO38" s="28" t="str">
        <f t="shared" si="37"/>
        <v/>
      </c>
      <c r="AP38" s="28" t="str">
        <f t="shared" si="37"/>
        <v/>
      </c>
      <c r="AQ38" s="28" t="str">
        <f t="shared" si="37"/>
        <v/>
      </c>
      <c r="AR38" s="28" t="str">
        <f t="shared" si="37"/>
        <v/>
      </c>
      <c r="AS38" s="28" t="str">
        <f t="shared" si="37"/>
        <v/>
      </c>
      <c r="AT38" s="28" t="str">
        <f t="shared" si="37"/>
        <v/>
      </c>
      <c r="AU38" s="28" t="str">
        <f t="shared" si="37"/>
        <v/>
      </c>
      <c r="AV38" s="28" t="str">
        <f t="shared" si="37"/>
        <v/>
      </c>
      <c r="AW38" s="28" t="str">
        <f t="shared" si="37"/>
        <v/>
      </c>
      <c r="AX38" s="28" t="str">
        <f t="shared" si="37"/>
        <v/>
      </c>
      <c r="AY38" s="28" t="str">
        <f t="shared" si="37"/>
        <v/>
      </c>
      <c r="AZ38" s="28" t="str">
        <f t="shared" si="37"/>
        <v/>
      </c>
      <c r="BA38" s="28" t="str">
        <f t="shared" si="37"/>
        <v/>
      </c>
      <c r="BB38" s="28" t="str">
        <f t="shared" si="37"/>
        <v/>
      </c>
      <c r="BC38" s="28" t="str">
        <f t="shared" si="37"/>
        <v/>
      </c>
      <c r="BD38" s="28" t="str">
        <f t="shared" si="37"/>
        <v/>
      </c>
      <c r="BE38" s="28" t="str">
        <f t="shared" si="37"/>
        <v/>
      </c>
      <c r="BF38" s="28" t="str">
        <f t="shared" si="37"/>
        <v/>
      </c>
      <c r="BG38" s="28" t="str">
        <f t="shared" si="37"/>
        <v/>
      </c>
      <c r="BH38" s="28" t="str">
        <f t="shared" si="37"/>
        <v/>
      </c>
      <c r="BI38" s="28" t="str">
        <f t="shared" si="37"/>
        <v/>
      </c>
      <c r="BJ38" s="28" t="str">
        <f t="shared" si="37"/>
        <v/>
      </c>
      <c r="BK38" s="28" t="str">
        <f t="shared" si="37"/>
        <v/>
      </c>
      <c r="BL38" s="28" t="str">
        <f t="shared" si="37"/>
        <v/>
      </c>
      <c r="BM38" s="28" t="str">
        <f t="shared" si="37"/>
        <v/>
      </c>
      <c r="BN38" s="28" t="str">
        <f t="shared" si="37"/>
        <v/>
      </c>
      <c r="BO38" s="28" t="str">
        <f t="shared" ref="BO38:CF38" si="38">IF(BN16&lt;保险期间,BO28-BO36,"")</f>
        <v/>
      </c>
      <c r="BP38" s="28" t="str">
        <f t="shared" si="38"/>
        <v/>
      </c>
      <c r="BQ38" s="28" t="str">
        <f t="shared" si="38"/>
        <v/>
      </c>
      <c r="BR38" s="28" t="str">
        <f t="shared" si="38"/>
        <v/>
      </c>
      <c r="BS38" s="28" t="str">
        <f t="shared" si="38"/>
        <v/>
      </c>
      <c r="BT38" s="28" t="str">
        <f t="shared" si="38"/>
        <v/>
      </c>
      <c r="BU38" s="28" t="str">
        <f t="shared" si="38"/>
        <v/>
      </c>
      <c r="BV38" s="28" t="str">
        <f t="shared" si="38"/>
        <v/>
      </c>
      <c r="BW38" s="28" t="str">
        <f t="shared" si="38"/>
        <v/>
      </c>
      <c r="BX38" s="28" t="str">
        <f t="shared" si="38"/>
        <v/>
      </c>
      <c r="BY38" s="28" t="str">
        <f t="shared" si="38"/>
        <v/>
      </c>
      <c r="BZ38" s="28" t="str">
        <f t="shared" si="38"/>
        <v/>
      </c>
      <c r="CA38" s="28" t="str">
        <f t="shared" si="38"/>
        <v/>
      </c>
      <c r="CB38" s="28" t="str">
        <f t="shared" si="38"/>
        <v/>
      </c>
      <c r="CC38" s="28" t="str">
        <f t="shared" si="38"/>
        <v/>
      </c>
      <c r="CD38" s="28" t="str">
        <f t="shared" si="38"/>
        <v/>
      </c>
      <c r="CE38" s="28" t="str">
        <f t="shared" si="38"/>
        <v/>
      </c>
      <c r="CF38" s="28" t="str">
        <f t="shared" si="38"/>
        <v/>
      </c>
    </row>
    <row r="39" spans="1:84" outlineLevel="1">
      <c r="A39" s="10" t="s">
        <v>53</v>
      </c>
      <c r="B39" s="28">
        <f t="shared" ref="B39:BM39" si="39">IF(B26&lt;=保险期间,B20*B38*保额,"")</f>
        <v>0</v>
      </c>
      <c r="C39" s="28">
        <f t="shared" si="39"/>
        <v>0</v>
      </c>
      <c r="D39" s="28">
        <f t="shared" si="39"/>
        <v>0</v>
      </c>
      <c r="E39" s="28">
        <f t="shared" si="39"/>
        <v>0</v>
      </c>
      <c r="F39" s="28">
        <f t="shared" si="39"/>
        <v>0</v>
      </c>
      <c r="G39" s="28">
        <f t="shared" si="39"/>
        <v>0</v>
      </c>
      <c r="H39" s="28">
        <f t="shared" si="39"/>
        <v>0</v>
      </c>
      <c r="I39" s="28">
        <f t="shared" si="39"/>
        <v>0</v>
      </c>
      <c r="J39" s="28">
        <f t="shared" si="39"/>
        <v>0</v>
      </c>
      <c r="K39" s="28">
        <f t="shared" si="39"/>
        <v>0</v>
      </c>
      <c r="L39" s="28" t="str">
        <f t="shared" si="39"/>
        <v/>
      </c>
      <c r="M39" s="28" t="str">
        <f t="shared" si="39"/>
        <v/>
      </c>
      <c r="N39" s="28" t="str">
        <f t="shared" si="39"/>
        <v/>
      </c>
      <c r="O39" s="28" t="str">
        <f t="shared" si="39"/>
        <v/>
      </c>
      <c r="P39" s="28" t="str">
        <f t="shared" si="39"/>
        <v/>
      </c>
      <c r="Q39" s="28" t="str">
        <f t="shared" si="39"/>
        <v/>
      </c>
      <c r="R39" s="28" t="str">
        <f t="shared" si="39"/>
        <v/>
      </c>
      <c r="S39" s="28" t="str">
        <f t="shared" si="39"/>
        <v/>
      </c>
      <c r="T39" s="28" t="str">
        <f t="shared" si="39"/>
        <v/>
      </c>
      <c r="U39" s="28" t="str">
        <f t="shared" si="39"/>
        <v/>
      </c>
      <c r="V39" s="28" t="str">
        <f t="shared" si="39"/>
        <v/>
      </c>
      <c r="W39" s="28" t="str">
        <f t="shared" si="39"/>
        <v/>
      </c>
      <c r="X39" s="28" t="str">
        <f t="shared" si="39"/>
        <v/>
      </c>
      <c r="Y39" s="28" t="str">
        <f t="shared" si="39"/>
        <v/>
      </c>
      <c r="Z39" s="28" t="str">
        <f t="shared" si="39"/>
        <v/>
      </c>
      <c r="AA39" s="28" t="str">
        <f t="shared" si="39"/>
        <v/>
      </c>
      <c r="AB39" s="28" t="str">
        <f t="shared" si="39"/>
        <v/>
      </c>
      <c r="AC39" s="28" t="str">
        <f t="shared" si="39"/>
        <v/>
      </c>
      <c r="AD39" s="28" t="str">
        <f t="shared" si="39"/>
        <v/>
      </c>
      <c r="AE39" s="28" t="str">
        <f t="shared" si="39"/>
        <v/>
      </c>
      <c r="AF39" s="28" t="str">
        <f t="shared" si="39"/>
        <v/>
      </c>
      <c r="AG39" s="28" t="str">
        <f t="shared" si="39"/>
        <v/>
      </c>
      <c r="AH39" s="28" t="str">
        <f t="shared" si="39"/>
        <v/>
      </c>
      <c r="AI39" s="28" t="str">
        <f t="shared" si="39"/>
        <v/>
      </c>
      <c r="AJ39" s="28" t="str">
        <f t="shared" si="39"/>
        <v/>
      </c>
      <c r="AK39" s="28" t="str">
        <f t="shared" si="39"/>
        <v/>
      </c>
      <c r="AL39" s="28" t="str">
        <f t="shared" si="39"/>
        <v/>
      </c>
      <c r="AM39" s="28" t="str">
        <f t="shared" si="39"/>
        <v/>
      </c>
      <c r="AN39" s="28" t="str">
        <f t="shared" si="39"/>
        <v/>
      </c>
      <c r="AO39" s="28" t="str">
        <f t="shared" si="39"/>
        <v/>
      </c>
      <c r="AP39" s="28" t="str">
        <f t="shared" si="39"/>
        <v/>
      </c>
      <c r="AQ39" s="28" t="str">
        <f t="shared" si="39"/>
        <v/>
      </c>
      <c r="AR39" s="28" t="str">
        <f t="shared" si="39"/>
        <v/>
      </c>
      <c r="AS39" s="28" t="str">
        <f t="shared" si="39"/>
        <v/>
      </c>
      <c r="AT39" s="28" t="str">
        <f t="shared" si="39"/>
        <v/>
      </c>
      <c r="AU39" s="28" t="str">
        <f t="shared" si="39"/>
        <v/>
      </c>
      <c r="AV39" s="28" t="str">
        <f t="shared" si="39"/>
        <v/>
      </c>
      <c r="AW39" s="28" t="str">
        <f t="shared" si="39"/>
        <v/>
      </c>
      <c r="AX39" s="28" t="str">
        <f t="shared" si="39"/>
        <v/>
      </c>
      <c r="AY39" s="28" t="str">
        <f t="shared" si="39"/>
        <v/>
      </c>
      <c r="AZ39" s="28" t="str">
        <f t="shared" si="39"/>
        <v/>
      </c>
      <c r="BA39" s="28" t="str">
        <f t="shared" si="39"/>
        <v/>
      </c>
      <c r="BB39" s="28" t="str">
        <f t="shared" si="39"/>
        <v/>
      </c>
      <c r="BC39" s="28" t="str">
        <f t="shared" si="39"/>
        <v/>
      </c>
      <c r="BD39" s="28" t="str">
        <f t="shared" si="39"/>
        <v/>
      </c>
      <c r="BE39" s="28" t="str">
        <f t="shared" si="39"/>
        <v/>
      </c>
      <c r="BF39" s="28" t="str">
        <f t="shared" si="39"/>
        <v/>
      </c>
      <c r="BG39" s="28" t="str">
        <f t="shared" si="39"/>
        <v/>
      </c>
      <c r="BH39" s="28" t="str">
        <f t="shared" si="39"/>
        <v/>
      </c>
      <c r="BI39" s="28" t="str">
        <f t="shared" si="39"/>
        <v/>
      </c>
      <c r="BJ39" s="28" t="str">
        <f t="shared" si="39"/>
        <v/>
      </c>
      <c r="BK39" s="28" t="str">
        <f t="shared" si="39"/>
        <v/>
      </c>
      <c r="BL39" s="28" t="str">
        <f t="shared" si="39"/>
        <v/>
      </c>
      <c r="BM39" s="28" t="str">
        <f t="shared" si="39"/>
        <v/>
      </c>
      <c r="BN39" s="28" t="str">
        <f t="shared" ref="BN39:CF39" si="40">IF(BN26&lt;=保险期间,BN20*BN38*保额,"")</f>
        <v/>
      </c>
      <c r="BO39" s="28" t="str">
        <f t="shared" si="40"/>
        <v/>
      </c>
      <c r="BP39" s="28" t="str">
        <f t="shared" si="40"/>
        <v/>
      </c>
      <c r="BQ39" s="28" t="str">
        <f t="shared" si="40"/>
        <v/>
      </c>
      <c r="BR39" s="28" t="str">
        <f t="shared" si="40"/>
        <v/>
      </c>
      <c r="BS39" s="28" t="str">
        <f t="shared" si="40"/>
        <v/>
      </c>
      <c r="BT39" s="28" t="str">
        <f t="shared" si="40"/>
        <v/>
      </c>
      <c r="BU39" s="28" t="str">
        <f t="shared" si="40"/>
        <v/>
      </c>
      <c r="BV39" s="28" t="str">
        <f t="shared" si="40"/>
        <v/>
      </c>
      <c r="BW39" s="28" t="str">
        <f t="shared" si="40"/>
        <v/>
      </c>
      <c r="BX39" s="28" t="str">
        <f t="shared" si="40"/>
        <v/>
      </c>
      <c r="BY39" s="28" t="str">
        <f t="shared" si="40"/>
        <v/>
      </c>
      <c r="BZ39" s="28" t="str">
        <f t="shared" si="40"/>
        <v/>
      </c>
      <c r="CA39" s="28" t="str">
        <f t="shared" si="40"/>
        <v/>
      </c>
      <c r="CB39" s="28" t="str">
        <f t="shared" si="40"/>
        <v/>
      </c>
      <c r="CC39" s="28" t="str">
        <f t="shared" si="40"/>
        <v/>
      </c>
      <c r="CD39" s="28" t="str">
        <f t="shared" si="40"/>
        <v/>
      </c>
      <c r="CE39" s="28" t="str">
        <f t="shared" si="40"/>
        <v/>
      </c>
      <c r="CF39" s="28" t="str">
        <f t="shared" si="40"/>
        <v/>
      </c>
    </row>
    <row r="40" spans="1:84" outlineLevel="1">
      <c r="A40" s="10" t="s">
        <v>55</v>
      </c>
      <c r="B40" s="28">
        <f>B33+B34-B37</f>
        <v>847700.5516438717</v>
      </c>
      <c r="C40" s="28">
        <f t="shared" ref="C40:BN40" si="41">IF(B16&lt;保险期间,C33+C34-C37,"")</f>
        <v>1131106.5415409873</v>
      </c>
      <c r="D40" s="28">
        <f t="shared" si="41"/>
        <v>1422159.0384230709</v>
      </c>
      <c r="E40" s="28">
        <f t="shared" si="41"/>
        <v>1740696.1288879728</v>
      </c>
      <c r="F40" s="28">
        <f t="shared" si="41"/>
        <v>2066122.6561774234</v>
      </c>
      <c r="G40" s="28">
        <f t="shared" si="41"/>
        <v>2035502.258460012</v>
      </c>
      <c r="H40" s="28">
        <f t="shared" si="41"/>
        <v>1995245.9528451271</v>
      </c>
      <c r="I40" s="28">
        <f t="shared" si="41"/>
        <v>1944528.9425690537</v>
      </c>
      <c r="J40" s="28">
        <f t="shared" si="41"/>
        <v>1882480.0752801464</v>
      </c>
      <c r="K40" s="28">
        <f t="shared" si="41"/>
        <v>1808089.252390913</v>
      </c>
      <c r="L40" s="28" t="str">
        <f t="shared" si="41"/>
        <v/>
      </c>
      <c r="M40" s="28" t="str">
        <f t="shared" si="41"/>
        <v/>
      </c>
      <c r="N40" s="28" t="str">
        <f t="shared" si="41"/>
        <v/>
      </c>
      <c r="O40" s="28" t="str">
        <f t="shared" si="41"/>
        <v/>
      </c>
      <c r="P40" s="28" t="str">
        <f t="shared" si="41"/>
        <v/>
      </c>
      <c r="Q40" s="28" t="str">
        <f t="shared" si="41"/>
        <v/>
      </c>
      <c r="R40" s="28" t="str">
        <f t="shared" si="41"/>
        <v/>
      </c>
      <c r="S40" s="28" t="str">
        <f t="shared" si="41"/>
        <v/>
      </c>
      <c r="T40" s="28" t="str">
        <f t="shared" si="41"/>
        <v/>
      </c>
      <c r="U40" s="28" t="str">
        <f t="shared" si="41"/>
        <v/>
      </c>
      <c r="V40" s="28" t="str">
        <f t="shared" si="41"/>
        <v/>
      </c>
      <c r="W40" s="28" t="str">
        <f t="shared" si="41"/>
        <v/>
      </c>
      <c r="X40" s="28" t="str">
        <f t="shared" si="41"/>
        <v/>
      </c>
      <c r="Y40" s="28" t="str">
        <f t="shared" si="41"/>
        <v/>
      </c>
      <c r="Z40" s="28" t="str">
        <f t="shared" si="41"/>
        <v/>
      </c>
      <c r="AA40" s="28" t="str">
        <f t="shared" si="41"/>
        <v/>
      </c>
      <c r="AB40" s="28" t="str">
        <f t="shared" si="41"/>
        <v/>
      </c>
      <c r="AC40" s="28" t="str">
        <f t="shared" si="41"/>
        <v/>
      </c>
      <c r="AD40" s="28" t="str">
        <f t="shared" si="41"/>
        <v/>
      </c>
      <c r="AE40" s="28" t="str">
        <f t="shared" si="41"/>
        <v/>
      </c>
      <c r="AF40" s="28" t="str">
        <f t="shared" si="41"/>
        <v/>
      </c>
      <c r="AG40" s="28" t="str">
        <f t="shared" si="41"/>
        <v/>
      </c>
      <c r="AH40" s="28" t="str">
        <f t="shared" si="41"/>
        <v/>
      </c>
      <c r="AI40" s="28" t="str">
        <f t="shared" si="41"/>
        <v/>
      </c>
      <c r="AJ40" s="28" t="str">
        <f t="shared" si="41"/>
        <v/>
      </c>
      <c r="AK40" s="28" t="str">
        <f t="shared" si="41"/>
        <v/>
      </c>
      <c r="AL40" s="28" t="str">
        <f t="shared" si="41"/>
        <v/>
      </c>
      <c r="AM40" s="28" t="str">
        <f t="shared" si="41"/>
        <v/>
      </c>
      <c r="AN40" s="28" t="str">
        <f t="shared" si="41"/>
        <v/>
      </c>
      <c r="AO40" s="28" t="str">
        <f t="shared" si="41"/>
        <v/>
      </c>
      <c r="AP40" s="28" t="str">
        <f t="shared" si="41"/>
        <v/>
      </c>
      <c r="AQ40" s="28" t="str">
        <f t="shared" si="41"/>
        <v/>
      </c>
      <c r="AR40" s="28" t="str">
        <f t="shared" si="41"/>
        <v/>
      </c>
      <c r="AS40" s="28" t="str">
        <f t="shared" si="41"/>
        <v/>
      </c>
      <c r="AT40" s="28" t="str">
        <f t="shared" si="41"/>
        <v/>
      </c>
      <c r="AU40" s="28" t="str">
        <f t="shared" si="41"/>
        <v/>
      </c>
      <c r="AV40" s="28" t="str">
        <f t="shared" si="41"/>
        <v/>
      </c>
      <c r="AW40" s="28" t="str">
        <f t="shared" si="41"/>
        <v/>
      </c>
      <c r="AX40" s="28" t="str">
        <f t="shared" si="41"/>
        <v/>
      </c>
      <c r="AY40" s="28" t="str">
        <f t="shared" si="41"/>
        <v/>
      </c>
      <c r="AZ40" s="28" t="str">
        <f t="shared" si="41"/>
        <v/>
      </c>
      <c r="BA40" s="28" t="str">
        <f t="shared" si="41"/>
        <v/>
      </c>
      <c r="BB40" s="28" t="str">
        <f t="shared" si="41"/>
        <v/>
      </c>
      <c r="BC40" s="28" t="str">
        <f t="shared" si="41"/>
        <v/>
      </c>
      <c r="BD40" s="28" t="str">
        <f t="shared" si="41"/>
        <v/>
      </c>
      <c r="BE40" s="28" t="str">
        <f t="shared" si="41"/>
        <v/>
      </c>
      <c r="BF40" s="28" t="str">
        <f t="shared" si="41"/>
        <v/>
      </c>
      <c r="BG40" s="28" t="str">
        <f t="shared" si="41"/>
        <v/>
      </c>
      <c r="BH40" s="28" t="str">
        <f t="shared" si="41"/>
        <v/>
      </c>
      <c r="BI40" s="28" t="str">
        <f t="shared" si="41"/>
        <v/>
      </c>
      <c r="BJ40" s="28" t="str">
        <f t="shared" si="41"/>
        <v/>
      </c>
      <c r="BK40" s="28" t="str">
        <f t="shared" si="41"/>
        <v/>
      </c>
      <c r="BL40" s="28" t="str">
        <f t="shared" si="41"/>
        <v/>
      </c>
      <c r="BM40" s="28" t="str">
        <f t="shared" si="41"/>
        <v/>
      </c>
      <c r="BN40" s="28" t="str">
        <f t="shared" si="41"/>
        <v/>
      </c>
      <c r="BO40" s="28" t="str">
        <f t="shared" ref="BO40:CF40" si="42">IF(BN16&lt;保险期间,BO33+BO34-BO37,"")</f>
        <v/>
      </c>
      <c r="BP40" s="28" t="str">
        <f t="shared" si="42"/>
        <v/>
      </c>
      <c r="BQ40" s="28" t="str">
        <f t="shared" si="42"/>
        <v/>
      </c>
      <c r="BR40" s="28" t="str">
        <f t="shared" si="42"/>
        <v/>
      </c>
      <c r="BS40" s="28" t="str">
        <f t="shared" si="42"/>
        <v/>
      </c>
      <c r="BT40" s="28" t="str">
        <f t="shared" si="42"/>
        <v/>
      </c>
      <c r="BU40" s="28" t="str">
        <f t="shared" si="42"/>
        <v/>
      </c>
      <c r="BV40" s="28" t="str">
        <f t="shared" si="42"/>
        <v/>
      </c>
      <c r="BW40" s="28" t="str">
        <f t="shared" si="42"/>
        <v/>
      </c>
      <c r="BX40" s="28" t="str">
        <f t="shared" si="42"/>
        <v/>
      </c>
      <c r="BY40" s="28" t="str">
        <f t="shared" si="42"/>
        <v/>
      </c>
      <c r="BZ40" s="28" t="str">
        <f t="shared" si="42"/>
        <v/>
      </c>
      <c r="CA40" s="28" t="str">
        <f t="shared" si="42"/>
        <v/>
      </c>
      <c r="CB40" s="28" t="str">
        <f t="shared" si="42"/>
        <v/>
      </c>
      <c r="CC40" s="28" t="str">
        <f t="shared" si="42"/>
        <v/>
      </c>
      <c r="CD40" s="28" t="str">
        <f t="shared" si="42"/>
        <v/>
      </c>
      <c r="CE40" s="28" t="str">
        <f t="shared" si="42"/>
        <v/>
      </c>
      <c r="CF40" s="28" t="str">
        <f t="shared" si="42"/>
        <v/>
      </c>
    </row>
    <row r="41" spans="1:84" outlineLevel="1">
      <c r="A41" s="10" t="s">
        <v>54</v>
      </c>
      <c r="B41" s="28">
        <f>B33+B34-B37-B39</f>
        <v>847700.5516438717</v>
      </c>
      <c r="C41" s="28">
        <f t="shared" ref="C41:BN41" si="43">IF(B16&lt;保险期间,C33+C34-C37-C39,"")</f>
        <v>1131106.5415409873</v>
      </c>
      <c r="D41" s="28">
        <f t="shared" si="43"/>
        <v>1422159.0384230709</v>
      </c>
      <c r="E41" s="28">
        <f t="shared" si="43"/>
        <v>1740696.1288879728</v>
      </c>
      <c r="F41" s="28">
        <f t="shared" si="43"/>
        <v>2066122.6561774234</v>
      </c>
      <c r="G41" s="28">
        <f t="shared" si="43"/>
        <v>2035502.258460012</v>
      </c>
      <c r="H41" s="28">
        <f t="shared" si="43"/>
        <v>1995245.9528451271</v>
      </c>
      <c r="I41" s="28">
        <f t="shared" si="43"/>
        <v>1944528.9425690537</v>
      </c>
      <c r="J41" s="28">
        <f t="shared" si="43"/>
        <v>1882480.0752801464</v>
      </c>
      <c r="K41" s="28">
        <f t="shared" si="43"/>
        <v>1808089.252390913</v>
      </c>
      <c r="L41" s="28" t="str">
        <f t="shared" si="43"/>
        <v/>
      </c>
      <c r="M41" s="28" t="str">
        <f t="shared" si="43"/>
        <v/>
      </c>
      <c r="N41" s="28" t="str">
        <f t="shared" si="43"/>
        <v/>
      </c>
      <c r="O41" s="28" t="str">
        <f t="shared" si="43"/>
        <v/>
      </c>
      <c r="P41" s="28" t="str">
        <f t="shared" si="43"/>
        <v/>
      </c>
      <c r="Q41" s="28" t="str">
        <f t="shared" si="43"/>
        <v/>
      </c>
      <c r="R41" s="28" t="str">
        <f t="shared" si="43"/>
        <v/>
      </c>
      <c r="S41" s="28" t="str">
        <f t="shared" si="43"/>
        <v/>
      </c>
      <c r="T41" s="28" t="str">
        <f t="shared" si="43"/>
        <v/>
      </c>
      <c r="U41" s="28" t="str">
        <f t="shared" si="43"/>
        <v/>
      </c>
      <c r="V41" s="28" t="str">
        <f t="shared" si="43"/>
        <v/>
      </c>
      <c r="W41" s="28" t="str">
        <f t="shared" si="43"/>
        <v/>
      </c>
      <c r="X41" s="28" t="str">
        <f t="shared" si="43"/>
        <v/>
      </c>
      <c r="Y41" s="28" t="str">
        <f t="shared" si="43"/>
        <v/>
      </c>
      <c r="Z41" s="28" t="str">
        <f t="shared" si="43"/>
        <v/>
      </c>
      <c r="AA41" s="28" t="str">
        <f t="shared" si="43"/>
        <v/>
      </c>
      <c r="AB41" s="28" t="str">
        <f t="shared" si="43"/>
        <v/>
      </c>
      <c r="AC41" s="28" t="str">
        <f t="shared" si="43"/>
        <v/>
      </c>
      <c r="AD41" s="28" t="str">
        <f t="shared" si="43"/>
        <v/>
      </c>
      <c r="AE41" s="28" t="str">
        <f t="shared" si="43"/>
        <v/>
      </c>
      <c r="AF41" s="28" t="str">
        <f t="shared" si="43"/>
        <v/>
      </c>
      <c r="AG41" s="28" t="str">
        <f t="shared" si="43"/>
        <v/>
      </c>
      <c r="AH41" s="28" t="str">
        <f t="shared" si="43"/>
        <v/>
      </c>
      <c r="AI41" s="28" t="str">
        <f t="shared" si="43"/>
        <v/>
      </c>
      <c r="AJ41" s="28" t="str">
        <f t="shared" si="43"/>
        <v/>
      </c>
      <c r="AK41" s="28" t="str">
        <f t="shared" si="43"/>
        <v/>
      </c>
      <c r="AL41" s="28" t="str">
        <f t="shared" si="43"/>
        <v/>
      </c>
      <c r="AM41" s="28" t="str">
        <f t="shared" si="43"/>
        <v/>
      </c>
      <c r="AN41" s="28" t="str">
        <f t="shared" si="43"/>
        <v/>
      </c>
      <c r="AO41" s="28" t="str">
        <f t="shared" si="43"/>
        <v/>
      </c>
      <c r="AP41" s="28" t="str">
        <f t="shared" si="43"/>
        <v/>
      </c>
      <c r="AQ41" s="28" t="str">
        <f t="shared" si="43"/>
        <v/>
      </c>
      <c r="AR41" s="28" t="str">
        <f t="shared" si="43"/>
        <v/>
      </c>
      <c r="AS41" s="28" t="str">
        <f t="shared" si="43"/>
        <v/>
      </c>
      <c r="AT41" s="28" t="str">
        <f t="shared" si="43"/>
        <v/>
      </c>
      <c r="AU41" s="28" t="str">
        <f t="shared" si="43"/>
        <v/>
      </c>
      <c r="AV41" s="28" t="str">
        <f t="shared" si="43"/>
        <v/>
      </c>
      <c r="AW41" s="28" t="str">
        <f t="shared" si="43"/>
        <v/>
      </c>
      <c r="AX41" s="28" t="str">
        <f t="shared" si="43"/>
        <v/>
      </c>
      <c r="AY41" s="28" t="str">
        <f t="shared" si="43"/>
        <v/>
      </c>
      <c r="AZ41" s="28" t="str">
        <f t="shared" si="43"/>
        <v/>
      </c>
      <c r="BA41" s="28" t="str">
        <f t="shared" si="43"/>
        <v/>
      </c>
      <c r="BB41" s="28" t="str">
        <f t="shared" si="43"/>
        <v/>
      </c>
      <c r="BC41" s="28" t="str">
        <f t="shared" si="43"/>
        <v/>
      </c>
      <c r="BD41" s="28" t="str">
        <f t="shared" si="43"/>
        <v/>
      </c>
      <c r="BE41" s="28" t="str">
        <f t="shared" si="43"/>
        <v/>
      </c>
      <c r="BF41" s="28" t="str">
        <f t="shared" si="43"/>
        <v/>
      </c>
      <c r="BG41" s="28" t="str">
        <f t="shared" si="43"/>
        <v/>
      </c>
      <c r="BH41" s="28" t="str">
        <f t="shared" si="43"/>
        <v/>
      </c>
      <c r="BI41" s="28" t="str">
        <f t="shared" si="43"/>
        <v/>
      </c>
      <c r="BJ41" s="28" t="str">
        <f t="shared" si="43"/>
        <v/>
      </c>
      <c r="BK41" s="28" t="str">
        <f t="shared" si="43"/>
        <v/>
      </c>
      <c r="BL41" s="28" t="str">
        <f t="shared" si="43"/>
        <v/>
      </c>
      <c r="BM41" s="28" t="str">
        <f t="shared" si="43"/>
        <v/>
      </c>
      <c r="BN41" s="28" t="str">
        <f t="shared" si="43"/>
        <v/>
      </c>
      <c r="BO41" s="28" t="str">
        <f t="shared" ref="BO41:CF41" si="44">IF(BN16&lt;保险期间,BO33+BO34-BO37-BO39,"")</f>
        <v/>
      </c>
      <c r="BP41" s="28" t="str">
        <f t="shared" si="44"/>
        <v/>
      </c>
      <c r="BQ41" s="28" t="str">
        <f t="shared" si="44"/>
        <v/>
      </c>
      <c r="BR41" s="28" t="str">
        <f t="shared" si="44"/>
        <v/>
      </c>
      <c r="BS41" s="28" t="str">
        <f t="shared" si="44"/>
        <v/>
      </c>
      <c r="BT41" s="28" t="str">
        <f t="shared" si="44"/>
        <v/>
      </c>
      <c r="BU41" s="28" t="str">
        <f t="shared" si="44"/>
        <v/>
      </c>
      <c r="BV41" s="28" t="str">
        <f t="shared" si="44"/>
        <v/>
      </c>
      <c r="BW41" s="28" t="str">
        <f t="shared" si="44"/>
        <v/>
      </c>
      <c r="BX41" s="28" t="str">
        <f t="shared" si="44"/>
        <v/>
      </c>
      <c r="BY41" s="28" t="str">
        <f t="shared" si="44"/>
        <v/>
      </c>
      <c r="BZ41" s="28" t="str">
        <f t="shared" si="44"/>
        <v/>
      </c>
      <c r="CA41" s="28" t="str">
        <f t="shared" si="44"/>
        <v/>
      </c>
      <c r="CB41" s="28" t="str">
        <f t="shared" si="44"/>
        <v/>
      </c>
      <c r="CC41" s="28" t="str">
        <f t="shared" si="44"/>
        <v/>
      </c>
      <c r="CD41" s="28" t="str">
        <f t="shared" si="44"/>
        <v/>
      </c>
      <c r="CE41" s="28" t="str">
        <f t="shared" si="44"/>
        <v/>
      </c>
      <c r="CF41" s="28" t="str">
        <f t="shared" si="44"/>
        <v/>
      </c>
    </row>
    <row r="42" spans="1:84" s="64" customFormat="1" ht="12" outlineLevel="1">
      <c r="A42" s="64" t="s">
        <v>72</v>
      </c>
      <c r="B42" s="62">
        <f>B40/B38</f>
        <v>85.124376870673657</v>
      </c>
      <c r="C42" s="62">
        <f t="shared" ref="C42:BN42" si="45">IF(B16&lt;保险期间,C40/C38,"")</f>
        <v>114.10778191858292</v>
      </c>
      <c r="D42" s="62">
        <f t="shared" si="45"/>
        <v>144.21108485329711</v>
      </c>
      <c r="E42" s="62">
        <f t="shared" si="45"/>
        <v>177.54284607084475</v>
      </c>
      <c r="F42" s="62">
        <f t="shared" si="45"/>
        <v>212.13132946744034</v>
      </c>
      <c r="G42" s="62">
        <f t="shared" si="45"/>
        <v>210.55622403234293</v>
      </c>
      <c r="H42" s="62">
        <f t="shared" si="45"/>
        <v>208.1387355022953</v>
      </c>
      <c r="I42" s="62">
        <f t="shared" si="45"/>
        <v>204.77244177624652</v>
      </c>
      <c r="J42" s="62">
        <f t="shared" si="45"/>
        <v>200.33634635314607</v>
      </c>
      <c r="K42" s="62">
        <f t="shared" si="45"/>
        <v>194.68444462580212</v>
      </c>
      <c r="L42" s="62" t="str">
        <f t="shared" si="45"/>
        <v/>
      </c>
      <c r="M42" s="62" t="str">
        <f t="shared" si="45"/>
        <v/>
      </c>
      <c r="N42" s="62" t="str">
        <f t="shared" si="45"/>
        <v/>
      </c>
      <c r="O42" s="62" t="str">
        <f t="shared" si="45"/>
        <v/>
      </c>
      <c r="P42" s="62" t="str">
        <f t="shared" si="45"/>
        <v/>
      </c>
      <c r="Q42" s="62" t="str">
        <f t="shared" si="45"/>
        <v/>
      </c>
      <c r="R42" s="62" t="str">
        <f t="shared" si="45"/>
        <v/>
      </c>
      <c r="S42" s="62" t="str">
        <f t="shared" si="45"/>
        <v/>
      </c>
      <c r="T42" s="62" t="str">
        <f t="shared" si="45"/>
        <v/>
      </c>
      <c r="U42" s="62" t="str">
        <f t="shared" si="45"/>
        <v/>
      </c>
      <c r="V42" s="62" t="str">
        <f t="shared" si="45"/>
        <v/>
      </c>
      <c r="W42" s="62" t="str">
        <f t="shared" si="45"/>
        <v/>
      </c>
      <c r="X42" s="62" t="str">
        <f t="shared" si="45"/>
        <v/>
      </c>
      <c r="Y42" s="62" t="str">
        <f t="shared" si="45"/>
        <v/>
      </c>
      <c r="Z42" s="62" t="str">
        <f t="shared" si="45"/>
        <v/>
      </c>
      <c r="AA42" s="62" t="str">
        <f t="shared" si="45"/>
        <v/>
      </c>
      <c r="AB42" s="62" t="str">
        <f t="shared" si="45"/>
        <v/>
      </c>
      <c r="AC42" s="62" t="str">
        <f t="shared" si="45"/>
        <v/>
      </c>
      <c r="AD42" s="62" t="str">
        <f t="shared" si="45"/>
        <v/>
      </c>
      <c r="AE42" s="62" t="str">
        <f t="shared" si="45"/>
        <v/>
      </c>
      <c r="AF42" s="62" t="str">
        <f t="shared" si="45"/>
        <v/>
      </c>
      <c r="AG42" s="62" t="str">
        <f t="shared" si="45"/>
        <v/>
      </c>
      <c r="AH42" s="62" t="str">
        <f t="shared" si="45"/>
        <v/>
      </c>
      <c r="AI42" s="62" t="str">
        <f t="shared" si="45"/>
        <v/>
      </c>
      <c r="AJ42" s="62" t="str">
        <f t="shared" si="45"/>
        <v/>
      </c>
      <c r="AK42" s="62" t="str">
        <f t="shared" si="45"/>
        <v/>
      </c>
      <c r="AL42" s="62" t="str">
        <f t="shared" si="45"/>
        <v/>
      </c>
      <c r="AM42" s="62" t="str">
        <f t="shared" si="45"/>
        <v/>
      </c>
      <c r="AN42" s="62" t="str">
        <f t="shared" si="45"/>
        <v/>
      </c>
      <c r="AO42" s="62" t="str">
        <f t="shared" si="45"/>
        <v/>
      </c>
      <c r="AP42" s="62" t="str">
        <f t="shared" si="45"/>
        <v/>
      </c>
      <c r="AQ42" s="62" t="str">
        <f t="shared" si="45"/>
        <v/>
      </c>
      <c r="AR42" s="62" t="str">
        <f t="shared" si="45"/>
        <v/>
      </c>
      <c r="AS42" s="62" t="str">
        <f t="shared" si="45"/>
        <v/>
      </c>
      <c r="AT42" s="62" t="str">
        <f t="shared" si="45"/>
        <v/>
      </c>
      <c r="AU42" s="62" t="str">
        <f t="shared" si="45"/>
        <v/>
      </c>
      <c r="AV42" s="62" t="str">
        <f t="shared" si="45"/>
        <v/>
      </c>
      <c r="AW42" s="62" t="str">
        <f t="shared" si="45"/>
        <v/>
      </c>
      <c r="AX42" s="62" t="str">
        <f t="shared" si="45"/>
        <v/>
      </c>
      <c r="AY42" s="62" t="str">
        <f t="shared" si="45"/>
        <v/>
      </c>
      <c r="AZ42" s="62" t="str">
        <f t="shared" si="45"/>
        <v/>
      </c>
      <c r="BA42" s="62" t="str">
        <f t="shared" si="45"/>
        <v/>
      </c>
      <c r="BB42" s="62" t="str">
        <f t="shared" si="45"/>
        <v/>
      </c>
      <c r="BC42" s="62" t="str">
        <f t="shared" si="45"/>
        <v/>
      </c>
      <c r="BD42" s="62" t="str">
        <f t="shared" si="45"/>
        <v/>
      </c>
      <c r="BE42" s="62" t="str">
        <f t="shared" si="45"/>
        <v/>
      </c>
      <c r="BF42" s="62" t="str">
        <f t="shared" si="45"/>
        <v/>
      </c>
      <c r="BG42" s="62" t="str">
        <f t="shared" si="45"/>
        <v/>
      </c>
      <c r="BH42" s="62" t="str">
        <f t="shared" si="45"/>
        <v/>
      </c>
      <c r="BI42" s="62" t="str">
        <f t="shared" si="45"/>
        <v/>
      </c>
      <c r="BJ42" s="62" t="str">
        <f t="shared" si="45"/>
        <v/>
      </c>
      <c r="BK42" s="62" t="str">
        <f t="shared" si="45"/>
        <v/>
      </c>
      <c r="BL42" s="62" t="str">
        <f t="shared" si="45"/>
        <v/>
      </c>
      <c r="BM42" s="62" t="str">
        <f t="shared" si="45"/>
        <v/>
      </c>
      <c r="BN42" s="62" t="str">
        <f t="shared" si="45"/>
        <v/>
      </c>
      <c r="BO42" s="62" t="str">
        <f t="shared" ref="BO42:CF42" si="46">IF(BN16&lt;保险期间,BO40/BO38,"")</f>
        <v/>
      </c>
      <c r="BP42" s="62" t="str">
        <f t="shared" si="46"/>
        <v/>
      </c>
      <c r="BQ42" s="62" t="str">
        <f t="shared" si="46"/>
        <v/>
      </c>
      <c r="BR42" s="62" t="str">
        <f t="shared" si="46"/>
        <v/>
      </c>
      <c r="BS42" s="62" t="str">
        <f t="shared" si="46"/>
        <v/>
      </c>
      <c r="BT42" s="62" t="str">
        <f t="shared" si="46"/>
        <v/>
      </c>
      <c r="BU42" s="62" t="str">
        <f t="shared" si="46"/>
        <v/>
      </c>
      <c r="BV42" s="62" t="str">
        <f t="shared" si="46"/>
        <v/>
      </c>
      <c r="BW42" s="62" t="str">
        <f t="shared" si="46"/>
        <v/>
      </c>
      <c r="BX42" s="62" t="str">
        <f t="shared" si="46"/>
        <v/>
      </c>
      <c r="BY42" s="62" t="str">
        <f t="shared" si="46"/>
        <v/>
      </c>
      <c r="BZ42" s="62" t="str">
        <f t="shared" si="46"/>
        <v/>
      </c>
      <c r="CA42" s="62" t="str">
        <f t="shared" si="46"/>
        <v/>
      </c>
      <c r="CB42" s="62" t="str">
        <f t="shared" si="46"/>
        <v/>
      </c>
      <c r="CC42" s="62" t="str">
        <f t="shared" si="46"/>
        <v/>
      </c>
      <c r="CD42" s="62" t="str">
        <f t="shared" si="46"/>
        <v/>
      </c>
      <c r="CE42" s="62" t="str">
        <f t="shared" si="46"/>
        <v/>
      </c>
      <c r="CF42" s="62" t="str">
        <f t="shared" si="46"/>
        <v/>
      </c>
    </row>
    <row r="43" spans="1:84" s="64" customFormat="1" ht="12" outlineLevel="1">
      <c r="A43" s="64" t="s">
        <v>33</v>
      </c>
      <c r="B43" s="65">
        <f>评估!B40</f>
        <v>12.609659500041152</v>
      </c>
      <c r="C43" s="65">
        <f>评估!C40</f>
        <v>25.169262401913397</v>
      </c>
      <c r="D43" s="65">
        <f>评估!D40</f>
        <v>37.527590517080554</v>
      </c>
      <c r="E43" s="65">
        <f>评估!E40</f>
        <v>49.522665428967649</v>
      </c>
      <c r="F43" s="65">
        <f>评估!F40</f>
        <v>61.005721171537751</v>
      </c>
      <c r="G43" s="65">
        <f>评估!G40</f>
        <v>52.861104578729311</v>
      </c>
      <c r="H43" s="65">
        <f>评估!H40</f>
        <v>42.927925487920419</v>
      </c>
      <c r="I43" s="65">
        <f>评估!I40</f>
        <v>30.985425458875728</v>
      </c>
      <c r="J43" s="65">
        <f>评估!J40</f>
        <v>16.779230769230761</v>
      </c>
      <c r="K43" s="65">
        <f>评估!K40</f>
        <v>-6.504989716277569E-15</v>
      </c>
      <c r="L43" s="65" t="str">
        <f>评估!L40</f>
        <v/>
      </c>
      <c r="M43" s="65" t="str">
        <f>评估!M40</f>
        <v/>
      </c>
      <c r="N43" s="65" t="str">
        <f>评估!N40</f>
        <v/>
      </c>
      <c r="O43" s="65" t="str">
        <f>评估!O40</f>
        <v/>
      </c>
      <c r="P43" s="65" t="str">
        <f>评估!P40</f>
        <v/>
      </c>
      <c r="Q43" s="65" t="str">
        <f>评估!Q40</f>
        <v/>
      </c>
      <c r="R43" s="65" t="str">
        <f>评估!R40</f>
        <v/>
      </c>
      <c r="S43" s="65" t="str">
        <f>评估!S40</f>
        <v/>
      </c>
    </row>
  </sheetData>
  <phoneticPr fontId="4" type="noConversion"/>
  <pageMargins left="0.7" right="0.7" top="0.75" bottom="0.75" header="0.3" footer="0.3"/>
  <pageSetup paperSize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P37"/>
  <sheetViews>
    <sheetView tabSelected="1" topLeftCell="A16" zoomScale="120" zoomScaleNormal="120" workbookViewId="0">
      <selection activeCell="H28" sqref="H28"/>
    </sheetView>
  </sheetViews>
  <sheetFormatPr defaultRowHeight="12"/>
  <cols>
    <col min="1" max="1" width="14.875" style="71" customWidth="1"/>
    <col min="2" max="2" width="13.875" style="71" customWidth="1"/>
    <col min="3" max="3" width="13.75" style="71" customWidth="1"/>
    <col min="4" max="4" width="14.125" style="71" bestFit="1" customWidth="1"/>
    <col min="5" max="5" width="15.125" style="71" bestFit="1" customWidth="1"/>
    <col min="6" max="6" width="15.375" style="71" customWidth="1"/>
    <col min="7" max="7" width="15.875" style="71" customWidth="1"/>
    <col min="8" max="12" width="9.125" style="71" bestFit="1" customWidth="1"/>
    <col min="13" max="16384" width="9" style="71"/>
  </cols>
  <sheetData>
    <row r="2" spans="1:42">
      <c r="B2" s="71">
        <v>0</v>
      </c>
      <c r="C2" s="71">
        <f>利润测试!B26</f>
        <v>1</v>
      </c>
      <c r="D2" s="71">
        <f>利润测试!C26</f>
        <v>2</v>
      </c>
      <c r="E2" s="71">
        <f>利润测试!D26</f>
        <v>3</v>
      </c>
      <c r="F2" s="71">
        <f>利润测试!E26</f>
        <v>4</v>
      </c>
      <c r="G2" s="71">
        <f>利润测试!F26</f>
        <v>5</v>
      </c>
      <c r="H2" s="71">
        <f>利润测试!G26</f>
        <v>6</v>
      </c>
      <c r="I2" s="71">
        <f>利润测试!H26</f>
        <v>7</v>
      </c>
      <c r="J2" s="71">
        <f>利润测试!I26</f>
        <v>8</v>
      </c>
      <c r="K2" s="71">
        <f>利润测试!J26</f>
        <v>9</v>
      </c>
      <c r="L2" s="71">
        <f>利润测试!K26</f>
        <v>10</v>
      </c>
      <c r="M2" s="71" t="str">
        <f>利润测试!L26</f>
        <v/>
      </c>
      <c r="N2" s="71" t="str">
        <f>利润测试!M26</f>
        <v/>
      </c>
      <c r="O2" s="71" t="str">
        <f>利润测试!N26</f>
        <v/>
      </c>
      <c r="P2" s="71" t="str">
        <f>利润测试!O26</f>
        <v/>
      </c>
      <c r="Q2" s="71" t="str">
        <f>利润测试!P26</f>
        <v/>
      </c>
      <c r="R2" s="71" t="str">
        <f>利润测试!Q26</f>
        <v/>
      </c>
      <c r="S2" s="71" t="str">
        <f>利润测试!R26</f>
        <v/>
      </c>
      <c r="T2" s="71" t="str">
        <f>利润测试!S26</f>
        <v/>
      </c>
      <c r="U2" s="71" t="str">
        <f>利润测试!T26</f>
        <v/>
      </c>
      <c r="V2" s="71" t="str">
        <f>利润测试!U26</f>
        <v/>
      </c>
      <c r="W2" s="71" t="str">
        <f>利润测试!V26</f>
        <v/>
      </c>
      <c r="X2" s="71" t="str">
        <f>利润测试!W26</f>
        <v/>
      </c>
      <c r="Y2" s="71" t="str">
        <f>利润测试!X26</f>
        <v/>
      </c>
      <c r="Z2" s="71" t="str">
        <f>利润测试!Y26</f>
        <v/>
      </c>
      <c r="AA2" s="71" t="str">
        <f>利润测试!Z26</f>
        <v/>
      </c>
      <c r="AB2" s="71" t="str">
        <f>利润测试!AA26</f>
        <v/>
      </c>
      <c r="AC2" s="71" t="str">
        <f>利润测试!AB26</f>
        <v/>
      </c>
      <c r="AD2" s="71" t="str">
        <f>利润测试!AC26</f>
        <v/>
      </c>
      <c r="AE2" s="71" t="str">
        <f>利润测试!AD26</f>
        <v/>
      </c>
      <c r="AF2" s="71" t="str">
        <f>利润测试!AE26</f>
        <v/>
      </c>
      <c r="AG2" s="71" t="str">
        <f>利润测试!AF26</f>
        <v/>
      </c>
      <c r="AH2" s="71" t="str">
        <f>利润测试!AG26</f>
        <v/>
      </c>
      <c r="AI2" s="71" t="str">
        <f>利润测试!AH26</f>
        <v/>
      </c>
      <c r="AJ2" s="71" t="str">
        <f>利润测试!AI26</f>
        <v/>
      </c>
      <c r="AK2" s="71" t="str">
        <f>利润测试!AJ26</f>
        <v/>
      </c>
      <c r="AL2" s="71" t="str">
        <f>利润测试!AK26</f>
        <v/>
      </c>
      <c r="AM2" s="71" t="str">
        <f>利润测试!AL26</f>
        <v/>
      </c>
      <c r="AN2" s="71" t="str">
        <f>利润测试!AM26</f>
        <v/>
      </c>
      <c r="AO2" s="71" t="str">
        <f>利润测试!AN26</f>
        <v/>
      </c>
      <c r="AP2" s="71" t="str">
        <f>利润测试!AO26</f>
        <v/>
      </c>
    </row>
    <row r="3" spans="1:42">
      <c r="A3" s="71" t="s">
        <v>79</v>
      </c>
    </row>
    <row r="4" spans="1:42">
      <c r="A4" s="71" t="s">
        <v>80</v>
      </c>
      <c r="B4" s="77">
        <f>启动资本</f>
        <v>1000000</v>
      </c>
      <c r="C4" s="77">
        <f>利润测试!B40</f>
        <v>847700.5516438717</v>
      </c>
      <c r="D4" s="77">
        <f>利润测试!C40</f>
        <v>1131106.5415409873</v>
      </c>
      <c r="E4" s="77">
        <f>利润测试!D40</f>
        <v>1422159.0384230709</v>
      </c>
      <c r="F4" s="77">
        <f>利润测试!E40</f>
        <v>1740696.1288879728</v>
      </c>
      <c r="G4" s="77">
        <f>利润测试!F40</f>
        <v>2066122.6561774234</v>
      </c>
      <c r="H4" s="77">
        <f>利润测试!G40</f>
        <v>2035502.258460012</v>
      </c>
      <c r="I4" s="77">
        <f>利润测试!H40</f>
        <v>1995245.9528451271</v>
      </c>
      <c r="J4" s="77">
        <f>利润测试!I40</f>
        <v>1944528.9425690537</v>
      </c>
      <c r="K4" s="77">
        <f>利润测试!J40</f>
        <v>1882480.0752801464</v>
      </c>
      <c r="L4" s="77">
        <f>利润测试!K40</f>
        <v>1808089.252390913</v>
      </c>
      <c r="M4" s="77" t="str">
        <f>利润测试!L40</f>
        <v/>
      </c>
      <c r="N4" s="77" t="str">
        <f>利润测试!M40</f>
        <v/>
      </c>
      <c r="O4" s="77" t="str">
        <f>利润测试!N40</f>
        <v/>
      </c>
      <c r="P4" s="77" t="str">
        <f>利润测试!O40</f>
        <v/>
      </c>
      <c r="Q4" s="77" t="str">
        <f>利润测试!P40</f>
        <v/>
      </c>
      <c r="R4" s="77" t="str">
        <f>利润测试!Q40</f>
        <v/>
      </c>
      <c r="S4" s="77" t="str">
        <f>利润测试!R40</f>
        <v/>
      </c>
      <c r="T4" s="77" t="str">
        <f>利润测试!S40</f>
        <v/>
      </c>
      <c r="U4" s="77" t="str">
        <f>利润测试!T40</f>
        <v/>
      </c>
      <c r="V4" s="77" t="str">
        <f>利润测试!U40</f>
        <v/>
      </c>
      <c r="W4" s="77" t="str">
        <f>利润测试!V40</f>
        <v/>
      </c>
      <c r="X4" s="77" t="str">
        <f>利润测试!W40</f>
        <v/>
      </c>
      <c r="Y4" s="77" t="str">
        <f>利润测试!X40</f>
        <v/>
      </c>
      <c r="Z4" s="77" t="str">
        <f>利润测试!Y40</f>
        <v/>
      </c>
      <c r="AA4" s="77" t="str">
        <f>利润测试!Z40</f>
        <v/>
      </c>
      <c r="AB4" s="77" t="str">
        <f>利润测试!AA40</f>
        <v/>
      </c>
      <c r="AC4" s="77" t="str">
        <f>利润测试!AB40</f>
        <v/>
      </c>
      <c r="AD4" s="77" t="str">
        <f>利润测试!AC40</f>
        <v/>
      </c>
      <c r="AE4" s="77" t="str">
        <f>利润测试!AD40</f>
        <v/>
      </c>
      <c r="AF4" s="77" t="str">
        <f>利润测试!AE40</f>
        <v/>
      </c>
      <c r="AG4" s="77" t="str">
        <f>利润测试!AF40</f>
        <v/>
      </c>
      <c r="AH4" s="77" t="str">
        <f>利润测试!AG40</f>
        <v/>
      </c>
      <c r="AI4" s="77" t="str">
        <f>利润测试!AH40</f>
        <v/>
      </c>
      <c r="AJ4" s="77" t="str">
        <f>利润测试!AI40</f>
        <v/>
      </c>
      <c r="AK4" s="77" t="str">
        <f>利润测试!AJ40</f>
        <v/>
      </c>
      <c r="AL4" s="77" t="str">
        <f>利润测试!AK40</f>
        <v/>
      </c>
      <c r="AM4" s="77" t="str">
        <f>利润测试!AL40</f>
        <v/>
      </c>
      <c r="AN4" s="77" t="str">
        <f>利润测试!AM40</f>
        <v/>
      </c>
      <c r="AO4" s="77" t="str">
        <f>利润测试!AN40</f>
        <v/>
      </c>
      <c r="AP4" s="77" t="str">
        <f>利润测试!AO40</f>
        <v/>
      </c>
    </row>
    <row r="6" spans="1:42">
      <c r="A6" s="71" t="s">
        <v>81</v>
      </c>
      <c r="B6" s="71">
        <v>0</v>
      </c>
      <c r="C6" s="72">
        <f>利润测试!B38*利润测试!B43</f>
        <v>125571.73053338181</v>
      </c>
      <c r="D6" s="72">
        <f>IF(D2&lt;=保险期间,利润测试!C38*利润测试!C43,"")</f>
        <v>249493.21483506597</v>
      </c>
      <c r="E6" s="72">
        <f>IF(E2&lt;=保险期间,利润测试!D38*利润测试!D43,"")</f>
        <v>370083.90928061056</v>
      </c>
      <c r="F6" s="72">
        <f>IF(F2&lt;=保险期间,利润测试!E38*利润测试!E43,"")</f>
        <v>485538.63989552337</v>
      </c>
      <c r="G6" s="72">
        <f>IF(G2&lt;=保险期间,利润测试!F38*利润测试!F43,"")</f>
        <v>594185.22943025874</v>
      </c>
      <c r="H6" s="72">
        <f>IF(H2&lt;=保险期间,利润测试!G38*利润测试!G43,"")</f>
        <v>511022.16640324274</v>
      </c>
      <c r="I6" s="72">
        <f>IF(I2&lt;=保险期间,利润测试!H38*利润测试!H43,"")</f>
        <v>411512.87571296812</v>
      </c>
      <c r="J6" s="72">
        <f>IF(J2&lt;=保险期间,利润测试!I38*利润测试!I43,"")</f>
        <v>294239.08842400229</v>
      </c>
      <c r="K6" s="72">
        <f>IF(K2&lt;=保险期间,利润测试!J38*利润测试!J43,"")</f>
        <v>157667.68325666053</v>
      </c>
      <c r="L6" s="72">
        <f>IF(L2&lt;=保险期间,利润测试!K38*利润测试!K43,"")</f>
        <v>-6.0413671033253611E-11</v>
      </c>
      <c r="M6" s="72" t="str">
        <f>IF(M2&lt;=保险期间,利润测试!L38*利润测试!L43,"")</f>
        <v/>
      </c>
      <c r="N6" s="72" t="str">
        <f>IF(N2&lt;=保险期间,利润测试!M38*利润测试!M43,"")</f>
        <v/>
      </c>
      <c r="O6" s="72" t="str">
        <f>IF(O2&lt;=保险期间,利润测试!N38*利润测试!N43,"")</f>
        <v/>
      </c>
      <c r="P6" s="72" t="str">
        <f>IF(P2&lt;=保险期间,利润测试!O38*利润测试!O43,"")</f>
        <v/>
      </c>
      <c r="Q6" s="72" t="str">
        <f>IF(Q2&lt;=保险期间,利润测试!P38*利润测试!P43,"")</f>
        <v/>
      </c>
      <c r="R6" s="72" t="str">
        <f>IF(R2&lt;=保险期间,利润测试!Q38*利润测试!Q43,"")</f>
        <v/>
      </c>
      <c r="S6" s="72" t="str">
        <f>IF(S2&lt;=保险期间,利润测试!R38*利润测试!R43,"")</f>
        <v/>
      </c>
      <c r="T6" s="72" t="str">
        <f>IF(T2&lt;=保险期间,利润测试!S38*利润测试!S43,"")</f>
        <v/>
      </c>
      <c r="U6" s="72" t="str">
        <f>IF(U2&lt;=保险期间,利润测试!T38*利润测试!T43,"")</f>
        <v/>
      </c>
      <c r="V6" s="72" t="str">
        <f>IF(V2&lt;=保险期间,利润测试!U38*利润测试!U43,"")</f>
        <v/>
      </c>
      <c r="W6" s="72" t="str">
        <f>IF(W2&lt;=保险期间,利润测试!V38*利润测试!V43,"")</f>
        <v/>
      </c>
      <c r="X6" s="72" t="str">
        <f>IF(X2&lt;=保险期间,利润测试!W38*利润测试!W43,"")</f>
        <v/>
      </c>
      <c r="Y6" s="72" t="str">
        <f>IF(Y2&lt;=保险期间,利润测试!X38*利润测试!X43,"")</f>
        <v/>
      </c>
      <c r="Z6" s="72" t="str">
        <f>IF(Z2&lt;=保险期间,利润测试!Y38*利润测试!Y43,"")</f>
        <v/>
      </c>
      <c r="AA6" s="72" t="str">
        <f>IF(AA2&lt;=保险期间,利润测试!Z38*利润测试!Z43,"")</f>
        <v/>
      </c>
      <c r="AB6" s="72" t="str">
        <f>IF(AB2&lt;=保险期间,利润测试!AA38*利润测试!AA43,"")</f>
        <v/>
      </c>
      <c r="AC6" s="72" t="str">
        <f>IF(AC2&lt;=保险期间,利润测试!AB38*利润测试!AB43,"")</f>
        <v/>
      </c>
      <c r="AD6" s="72" t="str">
        <f>IF(AD2&lt;=保险期间,利润测试!AC38*利润测试!AC43,"")</f>
        <v/>
      </c>
      <c r="AE6" s="72" t="str">
        <f>IF(AE2&lt;=保险期间,利润测试!AD38*利润测试!AD43,"")</f>
        <v/>
      </c>
      <c r="AF6" s="72" t="str">
        <f>IF(AF2&lt;=保险期间,利润测试!AE38*利润测试!AE43,"")</f>
        <v/>
      </c>
      <c r="AG6" s="72" t="str">
        <f>IF(AG2&lt;=保险期间,利润测试!AF38*利润测试!AF43,"")</f>
        <v/>
      </c>
      <c r="AH6" s="72" t="str">
        <f>IF(AH2&lt;=保险期间,利润测试!AG38*利润测试!AG43,"")</f>
        <v/>
      </c>
      <c r="AI6" s="72" t="str">
        <f>IF(AI2&lt;=保险期间,利润测试!AH38*利润测试!AH43,"")</f>
        <v/>
      </c>
      <c r="AJ6" s="72" t="str">
        <f>IF(AJ2&lt;=保险期间,利润测试!AI38*利润测试!AI43,"")</f>
        <v/>
      </c>
      <c r="AK6" s="72" t="str">
        <f>IF(AK2&lt;=保险期间,利润测试!AJ38*利润测试!AJ43,"")</f>
        <v/>
      </c>
      <c r="AL6" s="72" t="str">
        <f>IF(AL2&lt;=保险期间,利润测试!AK38*利润测试!AK43,"")</f>
        <v/>
      </c>
      <c r="AM6" s="72" t="str">
        <f>IF(AM2&lt;=保险期间,利润测试!AL38*利润测试!AL43,"")</f>
        <v/>
      </c>
      <c r="AN6" s="72" t="str">
        <f>IF(AN2&lt;=保险期间,利润测试!AM38*利润测试!AM43,"")</f>
        <v/>
      </c>
      <c r="AO6" s="72" t="str">
        <f>IF(AO2&lt;=保险期间,利润测试!AN38*利润测试!AN43,"")</f>
        <v/>
      </c>
      <c r="AP6" s="72" t="str">
        <f>IF(AP2&lt;=保险期间,利润测试!AO38*利润测试!AO43,"")</f>
        <v/>
      </c>
    </row>
    <row r="7" spans="1:42">
      <c r="A7" s="71" t="s">
        <v>82</v>
      </c>
      <c r="B7" s="71">
        <f>B4-B6</f>
        <v>1000000</v>
      </c>
      <c r="C7" s="72">
        <f>C4-C6</f>
        <v>722128.82111048989</v>
      </c>
      <c r="D7" s="72">
        <f t="shared" ref="D7:AP7" si="0">IF(D2&lt;=保险期间,D4-D6,"")</f>
        <v>881613.32670592132</v>
      </c>
      <c r="E7" s="72">
        <f t="shared" si="0"/>
        <v>1052075.1291424604</v>
      </c>
      <c r="F7" s="72">
        <f t="shared" si="0"/>
        <v>1255157.4889924494</v>
      </c>
      <c r="G7" s="72">
        <f t="shared" si="0"/>
        <v>1471937.4267471647</v>
      </c>
      <c r="H7" s="72">
        <f t="shared" si="0"/>
        <v>1524480.0920567694</v>
      </c>
      <c r="I7" s="72">
        <f t="shared" si="0"/>
        <v>1583733.0771321589</v>
      </c>
      <c r="J7" s="72">
        <f t="shared" si="0"/>
        <v>1650289.8541450514</v>
      </c>
      <c r="K7" s="72">
        <f t="shared" si="0"/>
        <v>1724812.3920234859</v>
      </c>
      <c r="L7" s="72">
        <f t="shared" si="0"/>
        <v>1808089.252390913</v>
      </c>
      <c r="M7" s="72" t="str">
        <f t="shared" si="0"/>
        <v/>
      </c>
      <c r="N7" s="72" t="str">
        <f t="shared" si="0"/>
        <v/>
      </c>
      <c r="O7" s="72" t="str">
        <f t="shared" si="0"/>
        <v/>
      </c>
      <c r="P7" s="72" t="str">
        <f t="shared" si="0"/>
        <v/>
      </c>
      <c r="Q7" s="72" t="str">
        <f t="shared" si="0"/>
        <v/>
      </c>
      <c r="R7" s="72" t="str">
        <f t="shared" si="0"/>
        <v/>
      </c>
      <c r="S7" s="72" t="str">
        <f t="shared" si="0"/>
        <v/>
      </c>
      <c r="T7" s="72" t="str">
        <f t="shared" si="0"/>
        <v/>
      </c>
      <c r="U7" s="72" t="str">
        <f t="shared" si="0"/>
        <v/>
      </c>
      <c r="V7" s="72" t="str">
        <f t="shared" si="0"/>
        <v/>
      </c>
      <c r="W7" s="72" t="str">
        <f t="shared" si="0"/>
        <v/>
      </c>
      <c r="X7" s="72" t="str">
        <f t="shared" si="0"/>
        <v/>
      </c>
      <c r="Y7" s="72" t="str">
        <f t="shared" si="0"/>
        <v/>
      </c>
      <c r="Z7" s="72" t="str">
        <f t="shared" si="0"/>
        <v/>
      </c>
      <c r="AA7" s="72" t="str">
        <f t="shared" si="0"/>
        <v/>
      </c>
      <c r="AB7" s="72" t="str">
        <f t="shared" si="0"/>
        <v/>
      </c>
      <c r="AC7" s="72" t="str">
        <f t="shared" si="0"/>
        <v/>
      </c>
      <c r="AD7" s="72" t="str">
        <f t="shared" si="0"/>
        <v/>
      </c>
      <c r="AE7" s="72" t="str">
        <f t="shared" si="0"/>
        <v/>
      </c>
      <c r="AF7" s="72" t="str">
        <f t="shared" si="0"/>
        <v/>
      </c>
      <c r="AG7" s="72" t="str">
        <f t="shared" si="0"/>
        <v/>
      </c>
      <c r="AH7" s="72" t="str">
        <f t="shared" si="0"/>
        <v/>
      </c>
      <c r="AI7" s="72" t="str">
        <f t="shared" si="0"/>
        <v/>
      </c>
      <c r="AJ7" s="72" t="str">
        <f t="shared" si="0"/>
        <v/>
      </c>
      <c r="AK7" s="72" t="str">
        <f t="shared" si="0"/>
        <v/>
      </c>
      <c r="AL7" s="72" t="str">
        <f t="shared" si="0"/>
        <v/>
      </c>
      <c r="AM7" s="72" t="str">
        <f t="shared" si="0"/>
        <v/>
      </c>
      <c r="AN7" s="72" t="str">
        <f t="shared" si="0"/>
        <v/>
      </c>
      <c r="AO7" s="72" t="str">
        <f t="shared" si="0"/>
        <v/>
      </c>
      <c r="AP7" s="72" t="str">
        <f t="shared" si="0"/>
        <v/>
      </c>
    </row>
    <row r="8" spans="1:42">
      <c r="A8" s="71" t="s">
        <v>83</v>
      </c>
      <c r="B8" s="74">
        <f>B4</f>
        <v>1000000</v>
      </c>
      <c r="C8" s="75">
        <f>B8*(1+定价利率)</f>
        <v>1050000</v>
      </c>
      <c r="D8" s="75">
        <f t="shared" ref="D8:AP8" si="1">IF(D2&lt;=保险期间,C8*(1+定价利率),"")</f>
        <v>1102500</v>
      </c>
      <c r="E8" s="75">
        <f t="shared" si="1"/>
        <v>1157625</v>
      </c>
      <c r="F8" s="75">
        <f t="shared" si="1"/>
        <v>1215506.25</v>
      </c>
      <c r="G8" s="75">
        <f t="shared" si="1"/>
        <v>1276281.5625</v>
      </c>
      <c r="H8" s="75">
        <f t="shared" si="1"/>
        <v>1340095.640625</v>
      </c>
      <c r="I8" s="75">
        <f t="shared" si="1"/>
        <v>1407100.42265625</v>
      </c>
      <c r="J8" s="75">
        <f t="shared" si="1"/>
        <v>1477455.4437890626</v>
      </c>
      <c r="K8" s="75">
        <f t="shared" si="1"/>
        <v>1551328.2159785158</v>
      </c>
      <c r="L8" s="75">
        <f t="shared" si="1"/>
        <v>1628894.6267774417</v>
      </c>
      <c r="M8" s="75" t="str">
        <f t="shared" si="1"/>
        <v/>
      </c>
      <c r="N8" s="75" t="str">
        <f t="shared" si="1"/>
        <v/>
      </c>
      <c r="O8" s="75" t="str">
        <f t="shared" si="1"/>
        <v/>
      </c>
      <c r="P8" s="75" t="str">
        <f t="shared" si="1"/>
        <v/>
      </c>
      <c r="Q8" s="75" t="str">
        <f t="shared" si="1"/>
        <v/>
      </c>
      <c r="R8" s="75" t="str">
        <f t="shared" si="1"/>
        <v/>
      </c>
      <c r="S8" s="75" t="str">
        <f t="shared" si="1"/>
        <v/>
      </c>
      <c r="T8" s="75" t="str">
        <f t="shared" si="1"/>
        <v/>
      </c>
      <c r="U8" s="75" t="str">
        <f t="shared" si="1"/>
        <v/>
      </c>
      <c r="V8" s="75" t="str">
        <f t="shared" si="1"/>
        <v/>
      </c>
      <c r="W8" s="75" t="str">
        <f t="shared" si="1"/>
        <v/>
      </c>
      <c r="X8" s="75" t="str">
        <f t="shared" si="1"/>
        <v/>
      </c>
      <c r="Y8" s="75" t="str">
        <f t="shared" si="1"/>
        <v/>
      </c>
      <c r="Z8" s="75" t="str">
        <f t="shared" si="1"/>
        <v/>
      </c>
      <c r="AA8" s="75" t="str">
        <f t="shared" si="1"/>
        <v/>
      </c>
      <c r="AB8" s="75" t="str">
        <f t="shared" si="1"/>
        <v/>
      </c>
      <c r="AC8" s="75" t="str">
        <f t="shared" si="1"/>
        <v/>
      </c>
      <c r="AD8" s="75" t="str">
        <f t="shared" si="1"/>
        <v/>
      </c>
      <c r="AE8" s="75" t="str">
        <f t="shared" si="1"/>
        <v/>
      </c>
      <c r="AF8" s="75" t="str">
        <f t="shared" si="1"/>
        <v/>
      </c>
      <c r="AG8" s="75" t="str">
        <f t="shared" si="1"/>
        <v/>
      </c>
      <c r="AH8" s="75" t="str">
        <f t="shared" si="1"/>
        <v/>
      </c>
      <c r="AI8" s="75" t="str">
        <f t="shared" si="1"/>
        <v/>
      </c>
      <c r="AJ8" s="75" t="str">
        <f t="shared" si="1"/>
        <v/>
      </c>
      <c r="AK8" s="75" t="str">
        <f t="shared" si="1"/>
        <v/>
      </c>
      <c r="AL8" s="75" t="str">
        <f t="shared" si="1"/>
        <v/>
      </c>
      <c r="AM8" s="75" t="str">
        <f t="shared" si="1"/>
        <v/>
      </c>
      <c r="AN8" s="75" t="str">
        <f t="shared" si="1"/>
        <v/>
      </c>
      <c r="AO8" s="75" t="str">
        <f t="shared" si="1"/>
        <v/>
      </c>
      <c r="AP8" s="75" t="str">
        <f t="shared" si="1"/>
        <v/>
      </c>
    </row>
    <row r="9" spans="1:42" s="80" customFormat="1">
      <c r="A9" s="80" t="s">
        <v>96</v>
      </c>
      <c r="B9" s="81">
        <f>SUM(C9:G9)</f>
        <v>471937.42674716469</v>
      </c>
      <c r="C9" s="81">
        <f>C7-B7</f>
        <v>-277871.17888951011</v>
      </c>
      <c r="D9" s="81">
        <f t="shared" ref="D9:AP9" si="2">IF(D2&lt;=保险期间,D7-C7,"")</f>
        <v>159484.50559543143</v>
      </c>
      <c r="E9" s="81">
        <f t="shared" si="2"/>
        <v>170461.80243653909</v>
      </c>
      <c r="F9" s="81">
        <f t="shared" si="2"/>
        <v>203082.35984998895</v>
      </c>
      <c r="G9" s="81">
        <f t="shared" si="2"/>
        <v>216779.93775471533</v>
      </c>
      <c r="H9" s="81">
        <f t="shared" si="2"/>
        <v>52542.665309604723</v>
      </c>
      <c r="I9" s="81">
        <f t="shared" si="2"/>
        <v>59252.985075389501</v>
      </c>
      <c r="J9" s="81">
        <f t="shared" si="2"/>
        <v>66556.777012892533</v>
      </c>
      <c r="K9" s="81">
        <f t="shared" si="2"/>
        <v>74522.537878434407</v>
      </c>
      <c r="L9" s="81">
        <f t="shared" si="2"/>
        <v>83276.860367427114</v>
      </c>
      <c r="M9" s="81" t="str">
        <f t="shared" si="2"/>
        <v/>
      </c>
      <c r="N9" s="81" t="str">
        <f t="shared" si="2"/>
        <v/>
      </c>
      <c r="O9" s="81" t="str">
        <f t="shared" si="2"/>
        <v/>
      </c>
      <c r="P9" s="81" t="str">
        <f t="shared" si="2"/>
        <v/>
      </c>
      <c r="Q9" s="81" t="str">
        <f t="shared" si="2"/>
        <v/>
      </c>
      <c r="R9" s="81" t="str">
        <f t="shared" si="2"/>
        <v/>
      </c>
      <c r="S9" s="81" t="str">
        <f t="shared" si="2"/>
        <v/>
      </c>
      <c r="T9" s="81" t="str">
        <f t="shared" si="2"/>
        <v/>
      </c>
      <c r="U9" s="81" t="str">
        <f t="shared" si="2"/>
        <v/>
      </c>
      <c r="V9" s="81" t="str">
        <f t="shared" si="2"/>
        <v/>
      </c>
      <c r="W9" s="81" t="str">
        <f t="shared" si="2"/>
        <v/>
      </c>
      <c r="X9" s="81" t="str">
        <f t="shared" si="2"/>
        <v/>
      </c>
      <c r="Y9" s="81" t="str">
        <f t="shared" si="2"/>
        <v/>
      </c>
      <c r="Z9" s="81" t="str">
        <f t="shared" si="2"/>
        <v/>
      </c>
      <c r="AA9" s="81" t="str">
        <f t="shared" si="2"/>
        <v/>
      </c>
      <c r="AB9" s="81" t="str">
        <f t="shared" si="2"/>
        <v/>
      </c>
      <c r="AC9" s="81" t="str">
        <f t="shared" si="2"/>
        <v/>
      </c>
      <c r="AD9" s="81" t="str">
        <f t="shared" si="2"/>
        <v/>
      </c>
      <c r="AE9" s="81" t="str">
        <f t="shared" si="2"/>
        <v/>
      </c>
      <c r="AF9" s="81" t="str">
        <f t="shared" si="2"/>
        <v/>
      </c>
      <c r="AG9" s="81" t="str">
        <f t="shared" si="2"/>
        <v/>
      </c>
      <c r="AH9" s="81" t="str">
        <f t="shared" si="2"/>
        <v/>
      </c>
      <c r="AI9" s="81" t="str">
        <f t="shared" si="2"/>
        <v/>
      </c>
      <c r="AJ9" s="81" t="str">
        <f t="shared" si="2"/>
        <v/>
      </c>
      <c r="AK9" s="81" t="str">
        <f t="shared" si="2"/>
        <v/>
      </c>
      <c r="AL9" s="81" t="str">
        <f t="shared" si="2"/>
        <v/>
      </c>
      <c r="AM9" s="81" t="str">
        <f t="shared" si="2"/>
        <v/>
      </c>
      <c r="AN9" s="81" t="str">
        <f t="shared" si="2"/>
        <v/>
      </c>
      <c r="AO9" s="81" t="str">
        <f t="shared" si="2"/>
        <v/>
      </c>
      <c r="AP9" s="81" t="str">
        <f t="shared" si="2"/>
        <v/>
      </c>
    </row>
    <row r="10" spans="1:42">
      <c r="A10" s="71" t="s">
        <v>84</v>
      </c>
    </row>
    <row r="11" spans="1:42">
      <c r="A11" s="71" t="s">
        <v>85</v>
      </c>
    </row>
    <row r="12" spans="1:42">
      <c r="A12" s="71" t="s">
        <v>87</v>
      </c>
      <c r="C12" s="73">
        <f>利润测试!B29</f>
        <v>372912.66290629882</v>
      </c>
      <c r="D12" s="73">
        <f>利润测试!C29</f>
        <v>371360.45123821771</v>
      </c>
      <c r="E12" s="73">
        <f>利润测试!D29</f>
        <v>369653.97569268779</v>
      </c>
      <c r="F12" s="73">
        <f>利润测试!E29</f>
        <v>367753.36281126627</v>
      </c>
      <c r="G12" s="73">
        <f>利润测试!F29</f>
        <v>365617.45128005842</v>
      </c>
      <c r="H12" s="73">
        <f>利润测试!G29</f>
        <v>0</v>
      </c>
      <c r="I12" s="73">
        <f>利润测试!H29</f>
        <v>0</v>
      </c>
      <c r="J12" s="73">
        <f>利润测试!I29</f>
        <v>0</v>
      </c>
      <c r="K12" s="73">
        <f>利润测试!J29</f>
        <v>0</v>
      </c>
      <c r="L12" s="73">
        <f>利润测试!K29</f>
        <v>0</v>
      </c>
      <c r="M12" s="73" t="str">
        <f>利润测试!L29</f>
        <v/>
      </c>
      <c r="N12" s="73" t="str">
        <f>利润测试!M29</f>
        <v/>
      </c>
      <c r="O12" s="73" t="str">
        <f>利润测试!N29</f>
        <v/>
      </c>
      <c r="P12" s="73" t="str">
        <f>利润测试!O29</f>
        <v/>
      </c>
      <c r="Q12" s="73" t="str">
        <f>利润测试!P29</f>
        <v/>
      </c>
      <c r="R12" s="73" t="str">
        <f>利润测试!Q29</f>
        <v/>
      </c>
      <c r="S12" s="73" t="str">
        <f>利润测试!R29</f>
        <v/>
      </c>
      <c r="T12" s="73" t="str">
        <f>利润测试!S29</f>
        <v/>
      </c>
      <c r="U12" s="73" t="str">
        <f>利润测试!T29</f>
        <v/>
      </c>
      <c r="V12" s="73" t="str">
        <f>利润测试!U29</f>
        <v/>
      </c>
      <c r="W12" s="73" t="str">
        <f>利润测试!V29</f>
        <v/>
      </c>
      <c r="X12" s="73" t="str">
        <f>利润测试!W29</f>
        <v/>
      </c>
      <c r="Y12" s="73" t="str">
        <f>利润测试!X29</f>
        <v/>
      </c>
      <c r="Z12" s="73" t="str">
        <f>利润测试!Y29</f>
        <v/>
      </c>
      <c r="AA12" s="73" t="str">
        <f>利润测试!Z29</f>
        <v/>
      </c>
      <c r="AB12" s="73" t="str">
        <f>利润测试!AA29</f>
        <v/>
      </c>
      <c r="AC12" s="73" t="str">
        <f>利润测试!AB29</f>
        <v/>
      </c>
      <c r="AD12" s="73" t="str">
        <f>利润测试!AC29</f>
        <v/>
      </c>
      <c r="AE12" s="73" t="str">
        <f>利润测试!AD29</f>
        <v/>
      </c>
      <c r="AF12" s="73" t="str">
        <f>利润测试!AE29</f>
        <v/>
      </c>
      <c r="AG12" s="73" t="str">
        <f>利润测试!AF29</f>
        <v/>
      </c>
      <c r="AH12" s="73" t="str">
        <f>利润测试!AG29</f>
        <v/>
      </c>
      <c r="AI12" s="73" t="str">
        <f>利润测试!AH29</f>
        <v/>
      </c>
      <c r="AJ12" s="73" t="str">
        <f>利润测试!AI29</f>
        <v/>
      </c>
      <c r="AK12" s="73" t="str">
        <f>利润测试!AJ29</f>
        <v/>
      </c>
      <c r="AL12" s="73" t="str">
        <f>利润测试!AK29</f>
        <v/>
      </c>
      <c r="AM12" s="73" t="str">
        <f>利润测试!AL29</f>
        <v/>
      </c>
      <c r="AN12" s="73" t="str">
        <f>利润测试!AM29</f>
        <v/>
      </c>
      <c r="AO12" s="73" t="str">
        <f>利润测试!AN29</f>
        <v/>
      </c>
      <c r="AP12" s="73" t="str">
        <f>利润测试!AO29</f>
        <v/>
      </c>
    </row>
    <row r="13" spans="1:42">
      <c r="A13" s="71" t="s">
        <v>88</v>
      </c>
      <c r="C13" s="73">
        <f>利润测试!B34</f>
        <v>42348.788173517707</v>
      </c>
      <c r="D13" s="73">
        <f>利润测试!C34</f>
        <v>56041.298616008928</v>
      </c>
      <c r="E13" s="73">
        <f>利润测试!D34</f>
        <v>70148.844814210126</v>
      </c>
      <c r="F13" s="73">
        <f>利润测试!E34</f>
        <v>85617.742084309866</v>
      </c>
      <c r="G13" s="73">
        <f>利润测试!F34</f>
        <v>101460.32374628734</v>
      </c>
      <c r="H13" s="73">
        <f>利润测试!G34</f>
        <v>100384.18441770549</v>
      </c>
      <c r="I13" s="73">
        <f>利润测试!H34</f>
        <v>98874.934216128459</v>
      </c>
      <c r="J13" s="73">
        <f>利润测试!I34</f>
        <v>96886.457235092283</v>
      </c>
      <c r="K13" s="73">
        <f>利润测试!J34</f>
        <v>94377.632719098983</v>
      </c>
      <c r="L13" s="73">
        <f>利润测试!K34</f>
        <v>91305.024418199901</v>
      </c>
      <c r="M13" s="73" t="str">
        <f>利润测试!L34</f>
        <v/>
      </c>
      <c r="N13" s="73" t="str">
        <f>利润测试!M34</f>
        <v/>
      </c>
      <c r="O13" s="73" t="str">
        <f>利润测试!N34</f>
        <v/>
      </c>
      <c r="P13" s="73" t="str">
        <f>利润测试!O34</f>
        <v/>
      </c>
      <c r="Q13" s="73" t="str">
        <f>利润测试!P34</f>
        <v/>
      </c>
      <c r="R13" s="73" t="str">
        <f>利润测试!Q34</f>
        <v/>
      </c>
      <c r="S13" s="73" t="str">
        <f>利润测试!R34</f>
        <v/>
      </c>
      <c r="T13" s="73" t="str">
        <f>利润测试!S34</f>
        <v/>
      </c>
      <c r="U13" s="73" t="str">
        <f>利润测试!T34</f>
        <v/>
      </c>
      <c r="V13" s="73" t="str">
        <f>利润测试!U34</f>
        <v/>
      </c>
      <c r="W13" s="73" t="str">
        <f>利润测试!V34</f>
        <v/>
      </c>
      <c r="X13" s="73" t="str">
        <f>利润测试!W34</f>
        <v/>
      </c>
      <c r="Y13" s="73" t="str">
        <f>利润测试!X34</f>
        <v/>
      </c>
      <c r="Z13" s="73" t="str">
        <f>利润测试!Y34</f>
        <v/>
      </c>
      <c r="AA13" s="73" t="str">
        <f>利润测试!Z34</f>
        <v/>
      </c>
      <c r="AB13" s="73" t="str">
        <f>利润测试!AA34</f>
        <v/>
      </c>
      <c r="AC13" s="73" t="str">
        <f>利润测试!AB34</f>
        <v/>
      </c>
      <c r="AD13" s="73" t="str">
        <f>利润测试!AC34</f>
        <v/>
      </c>
      <c r="AE13" s="73" t="str">
        <f>利润测试!AD34</f>
        <v/>
      </c>
      <c r="AF13" s="73" t="str">
        <f>利润测试!AE34</f>
        <v/>
      </c>
      <c r="AG13" s="73" t="str">
        <f>利润测试!AF34</f>
        <v/>
      </c>
      <c r="AH13" s="73" t="str">
        <f>利润测试!AG34</f>
        <v/>
      </c>
      <c r="AI13" s="73" t="str">
        <f>利润测试!AH34</f>
        <v/>
      </c>
      <c r="AJ13" s="73" t="str">
        <f>利润测试!AI34</f>
        <v/>
      </c>
      <c r="AK13" s="73" t="str">
        <f>利润测试!AJ34</f>
        <v/>
      </c>
      <c r="AL13" s="73" t="str">
        <f>利润测试!AK34</f>
        <v/>
      </c>
      <c r="AM13" s="73" t="str">
        <f>利润测试!AL34</f>
        <v/>
      </c>
      <c r="AN13" s="73" t="str">
        <f>利润测试!AM34</f>
        <v/>
      </c>
      <c r="AO13" s="73" t="str">
        <f>利润测试!AN34</f>
        <v/>
      </c>
      <c r="AP13" s="73" t="str">
        <f>利润测试!AO34</f>
        <v/>
      </c>
    </row>
    <row r="14" spans="1:42">
      <c r="A14" s="71" t="s">
        <v>97</v>
      </c>
      <c r="C14" s="73">
        <v>0</v>
      </c>
      <c r="D14" s="73">
        <f t="shared" ref="D14:AP14" si="3">IF(D2&lt;=保险期间,C6,"")</f>
        <v>125571.73053338181</v>
      </c>
      <c r="E14" s="73">
        <f t="shared" si="3"/>
        <v>249493.21483506597</v>
      </c>
      <c r="F14" s="73">
        <f t="shared" si="3"/>
        <v>370083.90928061056</v>
      </c>
      <c r="G14" s="73">
        <f t="shared" si="3"/>
        <v>485538.63989552337</v>
      </c>
      <c r="H14" s="73">
        <f t="shared" si="3"/>
        <v>594185.22943025874</v>
      </c>
      <c r="I14" s="73">
        <f t="shared" si="3"/>
        <v>511022.16640324274</v>
      </c>
      <c r="J14" s="73">
        <f t="shared" si="3"/>
        <v>411512.87571296812</v>
      </c>
      <c r="K14" s="73">
        <f t="shared" si="3"/>
        <v>294239.08842400229</v>
      </c>
      <c r="L14" s="73">
        <f t="shared" si="3"/>
        <v>157667.68325666053</v>
      </c>
      <c r="M14" s="73" t="str">
        <f t="shared" si="3"/>
        <v/>
      </c>
      <c r="N14" s="73" t="str">
        <f t="shared" si="3"/>
        <v/>
      </c>
      <c r="O14" s="73" t="str">
        <f t="shared" si="3"/>
        <v/>
      </c>
      <c r="P14" s="73" t="str">
        <f t="shared" si="3"/>
        <v/>
      </c>
      <c r="Q14" s="73" t="str">
        <f t="shared" si="3"/>
        <v/>
      </c>
      <c r="R14" s="73" t="str">
        <f t="shared" si="3"/>
        <v/>
      </c>
      <c r="S14" s="73" t="str">
        <f t="shared" si="3"/>
        <v/>
      </c>
      <c r="T14" s="73" t="str">
        <f t="shared" si="3"/>
        <v/>
      </c>
      <c r="U14" s="73" t="str">
        <f t="shared" si="3"/>
        <v/>
      </c>
      <c r="V14" s="73" t="str">
        <f t="shared" si="3"/>
        <v/>
      </c>
      <c r="W14" s="73" t="str">
        <f t="shared" si="3"/>
        <v/>
      </c>
      <c r="X14" s="73" t="str">
        <f t="shared" si="3"/>
        <v/>
      </c>
      <c r="Y14" s="73" t="str">
        <f t="shared" si="3"/>
        <v/>
      </c>
      <c r="Z14" s="73" t="str">
        <f t="shared" si="3"/>
        <v/>
      </c>
      <c r="AA14" s="73" t="str">
        <f t="shared" si="3"/>
        <v/>
      </c>
      <c r="AB14" s="73" t="str">
        <f t="shared" si="3"/>
        <v/>
      </c>
      <c r="AC14" s="73" t="str">
        <f t="shared" si="3"/>
        <v/>
      </c>
      <c r="AD14" s="73" t="str">
        <f t="shared" si="3"/>
        <v/>
      </c>
      <c r="AE14" s="73" t="str">
        <f t="shared" si="3"/>
        <v/>
      </c>
      <c r="AF14" s="73" t="str">
        <f t="shared" si="3"/>
        <v/>
      </c>
      <c r="AG14" s="73" t="str">
        <f t="shared" si="3"/>
        <v/>
      </c>
      <c r="AH14" s="73" t="str">
        <f t="shared" si="3"/>
        <v/>
      </c>
      <c r="AI14" s="73" t="str">
        <f t="shared" si="3"/>
        <v/>
      </c>
      <c r="AJ14" s="73" t="str">
        <f t="shared" si="3"/>
        <v/>
      </c>
      <c r="AK14" s="73" t="str">
        <f t="shared" si="3"/>
        <v/>
      </c>
      <c r="AL14" s="73" t="str">
        <f t="shared" si="3"/>
        <v/>
      </c>
      <c r="AM14" s="73" t="str">
        <f t="shared" si="3"/>
        <v/>
      </c>
      <c r="AN14" s="73" t="str">
        <f t="shared" si="3"/>
        <v/>
      </c>
      <c r="AO14" s="73" t="str">
        <f t="shared" si="3"/>
        <v/>
      </c>
      <c r="AP14" s="73" t="str">
        <f t="shared" si="3"/>
        <v/>
      </c>
    </row>
    <row r="15" spans="1:42" s="74" customFormat="1">
      <c r="A15" s="74" t="s">
        <v>92</v>
      </c>
      <c r="C15" s="75">
        <f>SUM(C12,C13,C14)</f>
        <v>415261.45107981656</v>
      </c>
      <c r="D15" s="75">
        <f t="shared" ref="D15:AP15" si="4">IF(D2&lt;=保险期间,SUM(D12,D13,D14),"")</f>
        <v>552973.48038760852</v>
      </c>
      <c r="E15" s="75">
        <f t="shared" si="4"/>
        <v>689296.03534196387</v>
      </c>
      <c r="F15" s="75">
        <f t="shared" si="4"/>
        <v>823455.01417618664</v>
      </c>
      <c r="G15" s="75">
        <f t="shared" si="4"/>
        <v>952616.41492186906</v>
      </c>
      <c r="H15" s="75">
        <f t="shared" si="4"/>
        <v>694569.41384796426</v>
      </c>
      <c r="I15" s="75">
        <f t="shared" si="4"/>
        <v>609897.10061937117</v>
      </c>
      <c r="J15" s="75">
        <f t="shared" si="4"/>
        <v>508399.33294806042</v>
      </c>
      <c r="K15" s="75">
        <f t="shared" si="4"/>
        <v>388616.72114310128</v>
      </c>
      <c r="L15" s="75">
        <f t="shared" si="4"/>
        <v>248972.70767486043</v>
      </c>
      <c r="M15" s="75" t="str">
        <f t="shared" si="4"/>
        <v/>
      </c>
      <c r="N15" s="75" t="str">
        <f t="shared" si="4"/>
        <v/>
      </c>
      <c r="O15" s="75" t="str">
        <f t="shared" si="4"/>
        <v/>
      </c>
      <c r="P15" s="75" t="str">
        <f t="shared" si="4"/>
        <v/>
      </c>
      <c r="Q15" s="75" t="str">
        <f t="shared" si="4"/>
        <v/>
      </c>
      <c r="R15" s="75" t="str">
        <f t="shared" si="4"/>
        <v/>
      </c>
      <c r="S15" s="75" t="str">
        <f t="shared" si="4"/>
        <v/>
      </c>
      <c r="T15" s="75" t="str">
        <f t="shared" si="4"/>
        <v/>
      </c>
      <c r="U15" s="75" t="str">
        <f t="shared" si="4"/>
        <v/>
      </c>
      <c r="V15" s="75" t="str">
        <f t="shared" si="4"/>
        <v/>
      </c>
      <c r="W15" s="75" t="str">
        <f t="shared" si="4"/>
        <v/>
      </c>
      <c r="X15" s="75" t="str">
        <f t="shared" si="4"/>
        <v/>
      </c>
      <c r="Y15" s="75" t="str">
        <f t="shared" si="4"/>
        <v/>
      </c>
      <c r="Z15" s="75" t="str">
        <f t="shared" si="4"/>
        <v/>
      </c>
      <c r="AA15" s="75" t="str">
        <f t="shared" si="4"/>
        <v/>
      </c>
      <c r="AB15" s="75" t="str">
        <f t="shared" si="4"/>
        <v/>
      </c>
      <c r="AC15" s="75" t="str">
        <f t="shared" si="4"/>
        <v/>
      </c>
      <c r="AD15" s="75" t="str">
        <f t="shared" si="4"/>
        <v/>
      </c>
      <c r="AE15" s="75" t="str">
        <f t="shared" si="4"/>
        <v/>
      </c>
      <c r="AF15" s="75" t="str">
        <f t="shared" si="4"/>
        <v/>
      </c>
      <c r="AG15" s="75" t="str">
        <f t="shared" si="4"/>
        <v/>
      </c>
      <c r="AH15" s="75" t="str">
        <f t="shared" si="4"/>
        <v/>
      </c>
      <c r="AI15" s="75" t="str">
        <f t="shared" si="4"/>
        <v/>
      </c>
      <c r="AJ15" s="75" t="str">
        <f t="shared" si="4"/>
        <v/>
      </c>
      <c r="AK15" s="75" t="str">
        <f t="shared" si="4"/>
        <v/>
      </c>
      <c r="AL15" s="75" t="str">
        <f t="shared" si="4"/>
        <v/>
      </c>
      <c r="AM15" s="75" t="str">
        <f t="shared" si="4"/>
        <v/>
      </c>
      <c r="AN15" s="75" t="str">
        <f t="shared" si="4"/>
        <v/>
      </c>
      <c r="AO15" s="75" t="str">
        <f t="shared" si="4"/>
        <v/>
      </c>
      <c r="AP15" s="75" t="str">
        <f t="shared" si="4"/>
        <v/>
      </c>
    </row>
    <row r="16" spans="1:42">
      <c r="A16" s="71" t="s">
        <v>86</v>
      </c>
      <c r="C16" s="73"/>
      <c r="D16" s="73"/>
      <c r="E16" s="73"/>
      <c r="F16" s="73"/>
      <c r="G16" s="73"/>
    </row>
    <row r="17" spans="1:42">
      <c r="A17" s="71" t="s">
        <v>89</v>
      </c>
      <c r="C17" s="73">
        <f>利润测试!B30</f>
        <v>55936.899435944819</v>
      </c>
      <c r="D17" s="73">
        <f>利润测试!C30</f>
        <v>18568.022561910886</v>
      </c>
      <c r="E17" s="73">
        <f>利润测试!D30</f>
        <v>18482.698784634391</v>
      </c>
      <c r="F17" s="73">
        <f>利润测试!E30</f>
        <v>18387.668140563314</v>
      </c>
      <c r="G17" s="73">
        <f>利润测试!F30</f>
        <v>18280.872564002922</v>
      </c>
      <c r="H17" s="73">
        <f>利润测试!G30</f>
        <v>0</v>
      </c>
      <c r="I17" s="73">
        <f>利润测试!H30</f>
        <v>0</v>
      </c>
      <c r="J17" s="73">
        <f>利润测试!I30</f>
        <v>0</v>
      </c>
      <c r="K17" s="73">
        <f>利润测试!J30</f>
        <v>0</v>
      </c>
      <c r="L17" s="73">
        <f>利润测试!K30</f>
        <v>0</v>
      </c>
      <c r="M17" s="73" t="str">
        <f>利润测试!L30</f>
        <v/>
      </c>
      <c r="N17" s="73" t="str">
        <f>利润测试!M30</f>
        <v/>
      </c>
      <c r="O17" s="73" t="str">
        <f>利润测试!N30</f>
        <v/>
      </c>
      <c r="P17" s="73" t="str">
        <f>利润测试!O30</f>
        <v/>
      </c>
      <c r="Q17" s="73" t="str">
        <f>利润测试!P30</f>
        <v/>
      </c>
      <c r="R17" s="73" t="str">
        <f>利润测试!Q30</f>
        <v/>
      </c>
      <c r="S17" s="73" t="str">
        <f>利润测试!R30</f>
        <v/>
      </c>
      <c r="T17" s="73" t="str">
        <f>利润测试!S30</f>
        <v/>
      </c>
      <c r="U17" s="73" t="str">
        <f>利润测试!T30</f>
        <v/>
      </c>
      <c r="V17" s="73" t="str">
        <f>利润测试!U30</f>
        <v/>
      </c>
      <c r="W17" s="73" t="str">
        <f>利润测试!V30</f>
        <v/>
      </c>
      <c r="X17" s="73" t="str">
        <f>利润测试!W30</f>
        <v/>
      </c>
      <c r="Y17" s="73" t="str">
        <f>利润测试!X30</f>
        <v/>
      </c>
      <c r="Z17" s="73" t="str">
        <f>利润测试!Y30</f>
        <v/>
      </c>
      <c r="AA17" s="73" t="str">
        <f>利润测试!Z30</f>
        <v/>
      </c>
      <c r="AB17" s="73" t="str">
        <f>利润测试!AA30</f>
        <v/>
      </c>
      <c r="AC17" s="73" t="str">
        <f>利润测试!AB30</f>
        <v/>
      </c>
      <c r="AD17" s="73" t="str">
        <f>利润测试!AC30</f>
        <v/>
      </c>
      <c r="AE17" s="73" t="str">
        <f>利润测试!AD30</f>
        <v/>
      </c>
      <c r="AF17" s="73" t="str">
        <f>利润测试!AE30</f>
        <v/>
      </c>
      <c r="AG17" s="73" t="str">
        <f>利润测试!AF30</f>
        <v/>
      </c>
      <c r="AH17" s="73" t="str">
        <f>利润测试!AG30</f>
        <v/>
      </c>
      <c r="AI17" s="73" t="str">
        <f>利润测试!AH30</f>
        <v/>
      </c>
      <c r="AJ17" s="73" t="str">
        <f>利润测试!AI30</f>
        <v/>
      </c>
      <c r="AK17" s="73" t="str">
        <f>利润测试!AJ30</f>
        <v/>
      </c>
      <c r="AL17" s="73" t="str">
        <f>利润测试!AK30</f>
        <v/>
      </c>
      <c r="AM17" s="73" t="str">
        <f>利润测试!AL30</f>
        <v/>
      </c>
      <c r="AN17" s="73" t="str">
        <f>利润测试!AM30</f>
        <v/>
      </c>
      <c r="AO17" s="73" t="str">
        <f>利润测试!AN30</f>
        <v/>
      </c>
      <c r="AP17" s="73" t="str">
        <f>利润测试!AO30</f>
        <v/>
      </c>
    </row>
    <row r="18" spans="1:42">
      <c r="A18" s="71" t="s">
        <v>86</v>
      </c>
      <c r="C18" s="73">
        <f>利润测试!B31</f>
        <v>470000</v>
      </c>
      <c r="D18" s="73">
        <f>利润测试!C31</f>
        <v>79667.008000000002</v>
      </c>
      <c r="E18" s="73">
        <f>利润测试!D31</f>
        <v>79300.922164838397</v>
      </c>
      <c r="F18" s="73">
        <f>利润测试!E31</f>
        <v>59169.891407576753</v>
      </c>
      <c r="G18" s="73">
        <f>利润测试!F31</f>
        <v>58826.232678281543</v>
      </c>
      <c r="H18" s="73">
        <f>利润测试!G31</f>
        <v>58438.967823313877</v>
      </c>
      <c r="I18" s="73">
        <f>利润测试!H31</f>
        <v>58003.574137443058</v>
      </c>
      <c r="J18" s="73">
        <f>利润测试!I31</f>
        <v>57516.80814328164</v>
      </c>
      <c r="K18" s="73">
        <f>利润测试!J31</f>
        <v>56976.288187074337</v>
      </c>
      <c r="L18" s="73">
        <f>利润测试!K31</f>
        <v>56379.58691614875</v>
      </c>
      <c r="M18" s="73" t="str">
        <f>利润测试!L31</f>
        <v/>
      </c>
      <c r="N18" s="73" t="str">
        <f>利润测试!M31</f>
        <v/>
      </c>
      <c r="O18" s="73" t="str">
        <f>利润测试!N31</f>
        <v/>
      </c>
      <c r="P18" s="73" t="str">
        <f>利润测试!O31</f>
        <v/>
      </c>
      <c r="Q18" s="73" t="str">
        <f>利润测试!P31</f>
        <v/>
      </c>
      <c r="R18" s="73" t="str">
        <f>利润测试!Q31</f>
        <v/>
      </c>
      <c r="S18" s="73" t="str">
        <f>利润测试!R31</f>
        <v/>
      </c>
      <c r="T18" s="73" t="str">
        <f>利润测试!S31</f>
        <v/>
      </c>
      <c r="U18" s="73" t="str">
        <f>利润测试!T31</f>
        <v/>
      </c>
      <c r="V18" s="73" t="str">
        <f>利润测试!U31</f>
        <v/>
      </c>
      <c r="W18" s="73" t="str">
        <f>利润测试!V31</f>
        <v/>
      </c>
      <c r="X18" s="73" t="str">
        <f>利润测试!W31</f>
        <v/>
      </c>
      <c r="Y18" s="73" t="str">
        <f>利润测试!X31</f>
        <v/>
      </c>
      <c r="Z18" s="73" t="str">
        <f>利润测试!Y31</f>
        <v/>
      </c>
      <c r="AA18" s="73" t="str">
        <f>利润测试!Z31</f>
        <v/>
      </c>
      <c r="AB18" s="73" t="str">
        <f>利润测试!AA31</f>
        <v/>
      </c>
      <c r="AC18" s="73" t="str">
        <f>利润测试!AB31</f>
        <v/>
      </c>
      <c r="AD18" s="73" t="str">
        <f>利润测试!AC31</f>
        <v/>
      </c>
      <c r="AE18" s="73" t="str">
        <f>利润测试!AD31</f>
        <v/>
      </c>
      <c r="AF18" s="73" t="str">
        <f>利润测试!AE31</f>
        <v/>
      </c>
      <c r="AG18" s="73" t="str">
        <f>利润测试!AF31</f>
        <v/>
      </c>
      <c r="AH18" s="73" t="str">
        <f>利润测试!AG31</f>
        <v/>
      </c>
      <c r="AI18" s="73" t="str">
        <f>利润测试!AH31</f>
        <v/>
      </c>
      <c r="AJ18" s="73" t="str">
        <f>利润测试!AI31</f>
        <v/>
      </c>
      <c r="AK18" s="73" t="str">
        <f>利润测试!AJ31</f>
        <v/>
      </c>
      <c r="AL18" s="73" t="str">
        <f>利润测试!AK31</f>
        <v/>
      </c>
      <c r="AM18" s="73" t="str">
        <f>利润测试!AL31</f>
        <v/>
      </c>
      <c r="AN18" s="73" t="str">
        <f>利润测试!AM31</f>
        <v/>
      </c>
      <c r="AO18" s="73" t="str">
        <f>利润测试!AN31</f>
        <v/>
      </c>
      <c r="AP18" s="73" t="str">
        <f>利润测试!AO31</f>
        <v/>
      </c>
    </row>
    <row r="19" spans="1:42">
      <c r="A19" s="71" t="s">
        <v>90</v>
      </c>
      <c r="C19" s="73">
        <f>利润测试!B37</f>
        <v>41624</v>
      </c>
      <c r="D19" s="73">
        <f>利润测试!C37</f>
        <v>45760.729395200004</v>
      </c>
      <c r="E19" s="73">
        <f>利润测试!D37</f>
        <v>50966.702675341643</v>
      </c>
      <c r="F19" s="73">
        <f>利润测试!E37</f>
        <v>57276.454882534301</v>
      </c>
      <c r="G19" s="73">
        <f>利润测试!F37</f>
        <v>64544.142494610511</v>
      </c>
      <c r="H19" s="73">
        <f>利润测试!G37</f>
        <v>72565.614311802958</v>
      </c>
      <c r="I19" s="73">
        <f>利润测试!H37</f>
        <v>81127.665693570365</v>
      </c>
      <c r="J19" s="73">
        <f>利润测试!I37</f>
        <v>90086.659367883927</v>
      </c>
      <c r="K19" s="73">
        <f>利润测试!J37</f>
        <v>99450.211820932032</v>
      </c>
      <c r="L19" s="73">
        <f>利润测试!K37</f>
        <v>109316.26039128468</v>
      </c>
      <c r="M19" s="73" t="str">
        <f>利润测试!L37</f>
        <v/>
      </c>
      <c r="N19" s="73" t="str">
        <f>利润测试!M37</f>
        <v/>
      </c>
      <c r="O19" s="73" t="str">
        <f>利润测试!N37</f>
        <v/>
      </c>
      <c r="P19" s="73" t="str">
        <f>利润测试!O37</f>
        <v/>
      </c>
      <c r="Q19" s="73" t="str">
        <f>利润测试!P37</f>
        <v/>
      </c>
      <c r="R19" s="73" t="str">
        <f>利润测试!Q37</f>
        <v/>
      </c>
      <c r="S19" s="73" t="str">
        <f>利润测试!R37</f>
        <v/>
      </c>
      <c r="T19" s="73" t="str">
        <f>利润测试!S37</f>
        <v/>
      </c>
      <c r="U19" s="73" t="str">
        <f>利润测试!T37</f>
        <v/>
      </c>
      <c r="V19" s="73" t="str">
        <f>利润测试!U37</f>
        <v/>
      </c>
      <c r="W19" s="73" t="str">
        <f>利润测试!V37</f>
        <v/>
      </c>
      <c r="X19" s="73" t="str">
        <f>利润测试!W37</f>
        <v/>
      </c>
      <c r="Y19" s="73" t="str">
        <f>利润测试!X37</f>
        <v/>
      </c>
      <c r="Z19" s="73" t="str">
        <f>利润测试!Y37</f>
        <v/>
      </c>
      <c r="AA19" s="73" t="str">
        <f>利润测试!Z37</f>
        <v/>
      </c>
      <c r="AB19" s="73" t="str">
        <f>利润测试!AA37</f>
        <v/>
      </c>
      <c r="AC19" s="73" t="str">
        <f>利润测试!AB37</f>
        <v/>
      </c>
      <c r="AD19" s="73" t="str">
        <f>利润测试!AC37</f>
        <v/>
      </c>
      <c r="AE19" s="73" t="str">
        <f>利润测试!AD37</f>
        <v/>
      </c>
      <c r="AF19" s="73" t="str">
        <f>利润测试!AE37</f>
        <v/>
      </c>
      <c r="AG19" s="73" t="str">
        <f>利润测试!AF37</f>
        <v/>
      </c>
      <c r="AH19" s="73" t="str">
        <f>利润测试!AG37</f>
        <v/>
      </c>
      <c r="AI19" s="73" t="str">
        <f>利润测试!AH37</f>
        <v/>
      </c>
      <c r="AJ19" s="73" t="str">
        <f>利润测试!AI37</f>
        <v/>
      </c>
      <c r="AK19" s="73" t="str">
        <f>利润测试!AJ37</f>
        <v/>
      </c>
      <c r="AL19" s="73" t="str">
        <f>利润测试!AK37</f>
        <v/>
      </c>
      <c r="AM19" s="73" t="str">
        <f>利润测试!AL37</f>
        <v/>
      </c>
      <c r="AN19" s="73" t="str">
        <f>利润测试!AM37</f>
        <v/>
      </c>
      <c r="AO19" s="73" t="str">
        <f>利润测试!AN37</f>
        <v/>
      </c>
      <c r="AP19" s="73" t="str">
        <f>利润测试!AO37</f>
        <v/>
      </c>
    </row>
    <row r="20" spans="1:42">
      <c r="A20" s="71" t="s">
        <v>91</v>
      </c>
      <c r="C20" s="73">
        <f>利润测试!B39</f>
        <v>0</v>
      </c>
      <c r="D20" s="73">
        <f>利润测试!C39</f>
        <v>0</v>
      </c>
      <c r="E20" s="73">
        <f>利润测试!D39</f>
        <v>0</v>
      </c>
      <c r="F20" s="73">
        <f>利润测试!E39</f>
        <v>0</v>
      </c>
      <c r="G20" s="73">
        <f>利润测试!F39</f>
        <v>0</v>
      </c>
      <c r="H20" s="73">
        <f>利润测试!G39</f>
        <v>0</v>
      </c>
      <c r="I20" s="73">
        <f>利润测试!H39</f>
        <v>0</v>
      </c>
      <c r="J20" s="73">
        <f>利润测试!I39</f>
        <v>0</v>
      </c>
      <c r="K20" s="73">
        <f>利润测试!J39</f>
        <v>0</v>
      </c>
      <c r="L20" s="73">
        <f>利润测试!K39</f>
        <v>0</v>
      </c>
      <c r="M20" s="73" t="str">
        <f>利润测试!L39</f>
        <v/>
      </c>
      <c r="N20" s="73" t="str">
        <f>利润测试!M39</f>
        <v/>
      </c>
      <c r="O20" s="73" t="str">
        <f>利润测试!N39</f>
        <v/>
      </c>
      <c r="P20" s="73" t="str">
        <f>利润测试!O39</f>
        <v/>
      </c>
      <c r="Q20" s="73" t="str">
        <f>利润测试!P39</f>
        <v/>
      </c>
      <c r="R20" s="73" t="str">
        <f>利润测试!Q39</f>
        <v/>
      </c>
      <c r="S20" s="73" t="str">
        <f>利润测试!R39</f>
        <v/>
      </c>
      <c r="T20" s="73" t="str">
        <f>利润测试!S39</f>
        <v/>
      </c>
      <c r="U20" s="73" t="str">
        <f>利润测试!T39</f>
        <v/>
      </c>
      <c r="V20" s="73" t="str">
        <f>利润测试!U39</f>
        <v/>
      </c>
      <c r="W20" s="73" t="str">
        <f>利润测试!V39</f>
        <v/>
      </c>
      <c r="X20" s="73" t="str">
        <f>利润测试!W39</f>
        <v/>
      </c>
      <c r="Y20" s="73" t="str">
        <f>利润测试!X39</f>
        <v/>
      </c>
      <c r="Z20" s="73" t="str">
        <f>利润测试!Y39</f>
        <v/>
      </c>
      <c r="AA20" s="73" t="str">
        <f>利润测试!Z39</f>
        <v/>
      </c>
      <c r="AB20" s="73" t="str">
        <f>利润测试!AA39</f>
        <v/>
      </c>
      <c r="AC20" s="73" t="str">
        <f>利润测试!AB39</f>
        <v/>
      </c>
      <c r="AD20" s="73" t="str">
        <f>利润测试!AC39</f>
        <v/>
      </c>
      <c r="AE20" s="73" t="str">
        <f>利润测试!AD39</f>
        <v/>
      </c>
      <c r="AF20" s="73" t="str">
        <f>利润测试!AE39</f>
        <v/>
      </c>
      <c r="AG20" s="73" t="str">
        <f>利润测试!AF39</f>
        <v/>
      </c>
      <c r="AH20" s="73" t="str">
        <f>利润测试!AG39</f>
        <v/>
      </c>
      <c r="AI20" s="73" t="str">
        <f>利润测试!AH39</f>
        <v/>
      </c>
      <c r="AJ20" s="73" t="str">
        <f>利润测试!AI39</f>
        <v/>
      </c>
      <c r="AK20" s="73" t="str">
        <f>利润测试!AJ39</f>
        <v/>
      </c>
      <c r="AL20" s="73" t="str">
        <f>利润测试!AK39</f>
        <v/>
      </c>
      <c r="AM20" s="73" t="str">
        <f>利润测试!AL39</f>
        <v/>
      </c>
      <c r="AN20" s="73" t="str">
        <f>利润测试!AM39</f>
        <v/>
      </c>
      <c r="AO20" s="73" t="str">
        <f>利润测试!AN39</f>
        <v/>
      </c>
      <c r="AP20" s="73" t="str">
        <f>利润测试!AO39</f>
        <v/>
      </c>
    </row>
    <row r="21" spans="1:42">
      <c r="A21" s="71" t="s">
        <v>98</v>
      </c>
      <c r="C21" s="73">
        <f>C6</f>
        <v>125571.73053338181</v>
      </c>
      <c r="D21" s="73">
        <f>D6</f>
        <v>249493.21483506597</v>
      </c>
      <c r="E21" s="73">
        <f t="shared" ref="E21:AP21" si="5">E6</f>
        <v>370083.90928061056</v>
      </c>
      <c r="F21" s="73">
        <f t="shared" si="5"/>
        <v>485538.63989552337</v>
      </c>
      <c r="G21" s="73">
        <f t="shared" si="5"/>
        <v>594185.22943025874</v>
      </c>
      <c r="H21" s="73">
        <f t="shared" si="5"/>
        <v>511022.16640324274</v>
      </c>
      <c r="I21" s="73">
        <f t="shared" si="5"/>
        <v>411512.87571296812</v>
      </c>
      <c r="J21" s="73">
        <f t="shared" si="5"/>
        <v>294239.08842400229</v>
      </c>
      <c r="K21" s="73">
        <f t="shared" si="5"/>
        <v>157667.68325666053</v>
      </c>
      <c r="L21" s="73">
        <f t="shared" si="5"/>
        <v>-6.0413671033253611E-11</v>
      </c>
      <c r="M21" s="73" t="str">
        <f t="shared" si="5"/>
        <v/>
      </c>
      <c r="N21" s="73" t="str">
        <f t="shared" si="5"/>
        <v/>
      </c>
      <c r="O21" s="73" t="str">
        <f t="shared" si="5"/>
        <v/>
      </c>
      <c r="P21" s="73" t="str">
        <f t="shared" si="5"/>
        <v/>
      </c>
      <c r="Q21" s="73" t="str">
        <f t="shared" si="5"/>
        <v/>
      </c>
      <c r="R21" s="73" t="str">
        <f t="shared" si="5"/>
        <v/>
      </c>
      <c r="S21" s="73" t="str">
        <f t="shared" si="5"/>
        <v/>
      </c>
      <c r="T21" s="73" t="str">
        <f t="shared" si="5"/>
        <v/>
      </c>
      <c r="U21" s="73" t="str">
        <f t="shared" si="5"/>
        <v/>
      </c>
      <c r="V21" s="73" t="str">
        <f t="shared" si="5"/>
        <v/>
      </c>
      <c r="W21" s="73" t="str">
        <f t="shared" si="5"/>
        <v/>
      </c>
      <c r="X21" s="73" t="str">
        <f t="shared" si="5"/>
        <v/>
      </c>
      <c r="Y21" s="73" t="str">
        <f t="shared" si="5"/>
        <v/>
      </c>
      <c r="Z21" s="73" t="str">
        <f t="shared" si="5"/>
        <v/>
      </c>
      <c r="AA21" s="73" t="str">
        <f t="shared" si="5"/>
        <v/>
      </c>
      <c r="AB21" s="73" t="str">
        <f t="shared" si="5"/>
        <v/>
      </c>
      <c r="AC21" s="73" t="str">
        <f t="shared" si="5"/>
        <v/>
      </c>
      <c r="AD21" s="73" t="str">
        <f t="shared" si="5"/>
        <v/>
      </c>
      <c r="AE21" s="73" t="str">
        <f t="shared" si="5"/>
        <v/>
      </c>
      <c r="AF21" s="73" t="str">
        <f t="shared" si="5"/>
        <v/>
      </c>
      <c r="AG21" s="73" t="str">
        <f t="shared" si="5"/>
        <v/>
      </c>
      <c r="AH21" s="73" t="str">
        <f t="shared" si="5"/>
        <v/>
      </c>
      <c r="AI21" s="73" t="str">
        <f t="shared" si="5"/>
        <v/>
      </c>
      <c r="AJ21" s="73" t="str">
        <f t="shared" si="5"/>
        <v/>
      </c>
      <c r="AK21" s="73" t="str">
        <f t="shared" si="5"/>
        <v/>
      </c>
      <c r="AL21" s="73" t="str">
        <f t="shared" si="5"/>
        <v/>
      </c>
      <c r="AM21" s="73" t="str">
        <f t="shared" si="5"/>
        <v/>
      </c>
      <c r="AN21" s="73" t="str">
        <f t="shared" si="5"/>
        <v/>
      </c>
      <c r="AO21" s="73" t="str">
        <f t="shared" si="5"/>
        <v/>
      </c>
      <c r="AP21" s="73" t="str">
        <f t="shared" si="5"/>
        <v/>
      </c>
    </row>
    <row r="22" spans="1:42" s="74" customFormat="1">
      <c r="A22" s="74" t="s">
        <v>92</v>
      </c>
      <c r="C22" s="76">
        <f>SUM(C17:C21)</f>
        <v>693132.62996932666</v>
      </c>
      <c r="D22" s="76">
        <f t="shared" ref="D22:AP22" si="6">IF(D2&lt;=保险期间,SUM(D17:D21),"")</f>
        <v>393488.97479217686</v>
      </c>
      <c r="E22" s="76">
        <f t="shared" si="6"/>
        <v>518834.23290542501</v>
      </c>
      <c r="F22" s="76">
        <f t="shared" si="6"/>
        <v>620372.65432619769</v>
      </c>
      <c r="G22" s="76">
        <f t="shared" si="6"/>
        <v>735836.47716715373</v>
      </c>
      <c r="H22" s="76">
        <f t="shared" si="6"/>
        <v>642026.74853835953</v>
      </c>
      <c r="I22" s="76">
        <f t="shared" si="6"/>
        <v>550644.11554398155</v>
      </c>
      <c r="J22" s="76">
        <f t="shared" si="6"/>
        <v>441842.55593516782</v>
      </c>
      <c r="K22" s="76">
        <f t="shared" si="6"/>
        <v>314094.18326466694</v>
      </c>
      <c r="L22" s="76">
        <f t="shared" si="6"/>
        <v>165695.84730743337</v>
      </c>
      <c r="M22" s="76" t="str">
        <f t="shared" si="6"/>
        <v/>
      </c>
      <c r="N22" s="76" t="str">
        <f t="shared" si="6"/>
        <v/>
      </c>
      <c r="O22" s="76" t="str">
        <f t="shared" si="6"/>
        <v/>
      </c>
      <c r="P22" s="76" t="str">
        <f t="shared" si="6"/>
        <v/>
      </c>
      <c r="Q22" s="76" t="str">
        <f t="shared" si="6"/>
        <v/>
      </c>
      <c r="R22" s="76" t="str">
        <f t="shared" si="6"/>
        <v/>
      </c>
      <c r="S22" s="76" t="str">
        <f t="shared" si="6"/>
        <v/>
      </c>
      <c r="T22" s="76" t="str">
        <f t="shared" si="6"/>
        <v/>
      </c>
      <c r="U22" s="76" t="str">
        <f t="shared" si="6"/>
        <v/>
      </c>
      <c r="V22" s="76" t="str">
        <f t="shared" si="6"/>
        <v/>
      </c>
      <c r="W22" s="76" t="str">
        <f t="shared" si="6"/>
        <v/>
      </c>
      <c r="X22" s="76" t="str">
        <f t="shared" si="6"/>
        <v/>
      </c>
      <c r="Y22" s="76" t="str">
        <f t="shared" si="6"/>
        <v/>
      </c>
      <c r="Z22" s="76" t="str">
        <f t="shared" si="6"/>
        <v/>
      </c>
      <c r="AA22" s="76" t="str">
        <f t="shared" si="6"/>
        <v/>
      </c>
      <c r="AB22" s="76" t="str">
        <f t="shared" si="6"/>
        <v/>
      </c>
      <c r="AC22" s="76" t="str">
        <f t="shared" si="6"/>
        <v/>
      </c>
      <c r="AD22" s="76" t="str">
        <f t="shared" si="6"/>
        <v/>
      </c>
      <c r="AE22" s="76" t="str">
        <f t="shared" si="6"/>
        <v/>
      </c>
      <c r="AF22" s="76" t="str">
        <f t="shared" si="6"/>
        <v/>
      </c>
      <c r="AG22" s="76" t="str">
        <f t="shared" si="6"/>
        <v/>
      </c>
      <c r="AH22" s="76" t="str">
        <f t="shared" si="6"/>
        <v/>
      </c>
      <c r="AI22" s="76" t="str">
        <f t="shared" si="6"/>
        <v/>
      </c>
      <c r="AJ22" s="76" t="str">
        <f t="shared" si="6"/>
        <v/>
      </c>
      <c r="AK22" s="76" t="str">
        <f t="shared" si="6"/>
        <v/>
      </c>
      <c r="AL22" s="76" t="str">
        <f t="shared" si="6"/>
        <v/>
      </c>
      <c r="AM22" s="76" t="str">
        <f t="shared" si="6"/>
        <v/>
      </c>
      <c r="AN22" s="76" t="str">
        <f t="shared" si="6"/>
        <v/>
      </c>
      <c r="AO22" s="76" t="str">
        <f t="shared" si="6"/>
        <v/>
      </c>
      <c r="AP22" s="76" t="str">
        <f t="shared" si="6"/>
        <v/>
      </c>
    </row>
    <row r="24" spans="1:42" s="80" customFormat="1">
      <c r="A24" s="80" t="s">
        <v>95</v>
      </c>
      <c r="C24" s="81">
        <f>C15-C22</f>
        <v>-277871.17888951011</v>
      </c>
      <c r="D24" s="81">
        <f t="shared" ref="D24:AP24" si="7">IF(D2&lt;=保险期间,D15-D22,"")</f>
        <v>159484.50559543166</v>
      </c>
      <c r="E24" s="81">
        <f t="shared" si="7"/>
        <v>170461.80243653886</v>
      </c>
      <c r="F24" s="81">
        <f t="shared" si="7"/>
        <v>203082.35984998895</v>
      </c>
      <c r="G24" s="81">
        <f t="shared" si="7"/>
        <v>216779.93775471533</v>
      </c>
      <c r="H24" s="81">
        <f t="shared" si="7"/>
        <v>52542.665309604723</v>
      </c>
      <c r="I24" s="81">
        <f t="shared" si="7"/>
        <v>59252.985075389617</v>
      </c>
      <c r="J24" s="81">
        <f t="shared" si="7"/>
        <v>66556.777012892591</v>
      </c>
      <c r="K24" s="81">
        <f t="shared" si="7"/>
        <v>74522.537878434348</v>
      </c>
      <c r="L24" s="81">
        <f t="shared" si="7"/>
        <v>83276.860367427056</v>
      </c>
      <c r="M24" s="81" t="str">
        <f t="shared" si="7"/>
        <v/>
      </c>
      <c r="N24" s="81" t="str">
        <f t="shared" si="7"/>
        <v/>
      </c>
      <c r="O24" s="81" t="str">
        <f t="shared" si="7"/>
        <v/>
      </c>
      <c r="P24" s="81" t="str">
        <f t="shared" si="7"/>
        <v/>
      </c>
      <c r="Q24" s="81" t="str">
        <f t="shared" si="7"/>
        <v/>
      </c>
      <c r="R24" s="81" t="str">
        <f t="shared" si="7"/>
        <v/>
      </c>
      <c r="S24" s="81" t="str">
        <f t="shared" si="7"/>
        <v/>
      </c>
      <c r="T24" s="81" t="str">
        <f t="shared" si="7"/>
        <v/>
      </c>
      <c r="U24" s="81" t="str">
        <f t="shared" si="7"/>
        <v/>
      </c>
      <c r="V24" s="81" t="str">
        <f t="shared" si="7"/>
        <v/>
      </c>
      <c r="W24" s="81" t="str">
        <f t="shared" si="7"/>
        <v/>
      </c>
      <c r="X24" s="81" t="str">
        <f t="shared" si="7"/>
        <v/>
      </c>
      <c r="Y24" s="81" t="str">
        <f t="shared" si="7"/>
        <v/>
      </c>
      <c r="Z24" s="81" t="str">
        <f t="shared" si="7"/>
        <v/>
      </c>
      <c r="AA24" s="81" t="str">
        <f t="shared" si="7"/>
        <v/>
      </c>
      <c r="AB24" s="81" t="str">
        <f t="shared" si="7"/>
        <v/>
      </c>
      <c r="AC24" s="81" t="str">
        <f t="shared" si="7"/>
        <v/>
      </c>
      <c r="AD24" s="81" t="str">
        <f t="shared" si="7"/>
        <v/>
      </c>
      <c r="AE24" s="81" t="str">
        <f t="shared" si="7"/>
        <v/>
      </c>
      <c r="AF24" s="81" t="str">
        <f t="shared" si="7"/>
        <v/>
      </c>
      <c r="AG24" s="81" t="str">
        <f t="shared" si="7"/>
        <v/>
      </c>
      <c r="AH24" s="81" t="str">
        <f t="shared" si="7"/>
        <v/>
      </c>
      <c r="AI24" s="81" t="str">
        <f t="shared" si="7"/>
        <v/>
      </c>
      <c r="AJ24" s="81" t="str">
        <f t="shared" si="7"/>
        <v/>
      </c>
      <c r="AK24" s="81" t="str">
        <f t="shared" si="7"/>
        <v/>
      </c>
      <c r="AL24" s="81" t="str">
        <f t="shared" si="7"/>
        <v/>
      </c>
      <c r="AM24" s="81" t="str">
        <f t="shared" si="7"/>
        <v/>
      </c>
      <c r="AN24" s="81" t="str">
        <f t="shared" si="7"/>
        <v/>
      </c>
      <c r="AO24" s="81" t="str">
        <f t="shared" si="7"/>
        <v/>
      </c>
      <c r="AP24" s="81" t="str">
        <f t="shared" si="7"/>
        <v/>
      </c>
    </row>
    <row r="28" spans="1:42">
      <c r="A28" s="71" t="s">
        <v>108</v>
      </c>
    </row>
    <row r="29" spans="1:42">
      <c r="A29" s="71" t="s">
        <v>112</v>
      </c>
    </row>
    <row r="30" spans="1:42">
      <c r="A30" s="92" t="s">
        <v>109</v>
      </c>
      <c r="B30" s="87"/>
      <c r="C30" s="89"/>
      <c r="D30" s="89">
        <f>(D14+利润测试!C28*净保费)*(利润测试!C18-评估!评估利率)</f>
        <v>3053.4464137013529</v>
      </c>
      <c r="E30" s="89">
        <f>(E14+利润测试!D28*净保费)*(利润测试!D18-评估!评估利率)</f>
        <v>4284.4003319194244</v>
      </c>
      <c r="F30" s="89">
        <f>(F14+利润测试!E28*净保费)*(利润测试!E18-评估!评估利率)</f>
        <v>5481.1065467622329</v>
      </c>
      <c r="G30" s="89">
        <f>(G14+利润测试!F28*净保费)*(利润测试!F18-评估!评估利率)</f>
        <v>6625.314059538784</v>
      </c>
    </row>
    <row r="31" spans="1:42">
      <c r="A31" s="92" t="s">
        <v>110</v>
      </c>
      <c r="B31" s="87"/>
      <c r="C31" s="89"/>
      <c r="D31" s="89">
        <f>(评估!C22*利润测试!C28-利润测试!C36)*(保额-评估!C40)</f>
        <v>22304.48279467463</v>
      </c>
      <c r="E31" s="89">
        <f>(评估!D22*利润测试!D28-利润测试!D36)*(保额-评估!D40)</f>
        <v>24527.022563667811</v>
      </c>
      <c r="F31" s="89">
        <f>(评估!E22*利润测试!E28-利润测试!E36)*(保额-评估!E40)</f>
        <v>27219.986085214572</v>
      </c>
      <c r="G31" s="89">
        <f>(评估!F22*利润测试!F28-利润测试!F36)*(保额-评估!F40)</f>
        <v>30303.290267164146</v>
      </c>
    </row>
    <row r="32" spans="1:42">
      <c r="A32" s="92" t="s">
        <v>111</v>
      </c>
      <c r="B32" s="87"/>
      <c r="C32" s="89"/>
      <c r="D32" s="89">
        <f>(利润测试!C29-利润测试!C28*净保费-利润测试!C32)*(1+利润测试!C18)</f>
        <v>98020.135331531026</v>
      </c>
      <c r="E32" s="89">
        <f>(利润测试!D29-利润测试!D28*净保费-利润测试!D32)*(1+利润测试!D18)</f>
        <v>97569.713205655557</v>
      </c>
      <c r="F32" s="89">
        <f>(利润测试!E29-利润测试!E28*净保费-利润测试!E32)*(1+利润测试!E18)</f>
        <v>117777.51076088921</v>
      </c>
      <c r="G32" s="89">
        <f>(利润测试!F29-利润测试!F28*净保费-利润测试!F32)*(1+利润测试!F18)</f>
        <v>117093.45897838994</v>
      </c>
    </row>
    <row r="33" spans="1:7" ht="12.75" thickBot="1">
      <c r="A33" s="71" t="s">
        <v>114</v>
      </c>
      <c r="B33" s="88"/>
      <c r="C33" s="94"/>
      <c r="D33" s="94">
        <f>SUM(D30:D32)</f>
        <v>123378.06453990701</v>
      </c>
      <c r="E33" s="94">
        <f>SUM(E30:E32)</f>
        <v>126381.1361012428</v>
      </c>
      <c r="F33" s="94">
        <f t="shared" ref="F33:G33" si="8">SUM(F30:F32)</f>
        <v>150478.60339286603</v>
      </c>
      <c r="G33" s="94">
        <f t="shared" si="8"/>
        <v>154022.06330509286</v>
      </c>
    </row>
    <row r="34" spans="1:7" ht="12.75" thickTop="1">
      <c r="B34" s="88"/>
      <c r="C34" s="88"/>
      <c r="D34" s="95"/>
      <c r="E34" s="95"/>
      <c r="F34" s="89"/>
    </row>
    <row r="35" spans="1:7">
      <c r="A35" s="71" t="s">
        <v>113</v>
      </c>
      <c r="C35" s="93"/>
      <c r="D35" s="93">
        <f>(利润测试!B41-预测财务报表!D14)*利润测试!C18</f>
        <v>36106.441055524498</v>
      </c>
      <c r="E35" s="91">
        <f>(利润测试!C41-预测财务报表!E14)*利润测试!D18</f>
        <v>44080.666335296068</v>
      </c>
      <c r="F35" s="91">
        <f>(利润测试!D41-预测财务报表!F14)*利润测试!E18</f>
        <v>52603.756457123025</v>
      </c>
      <c r="G35" s="91">
        <f>(利润测试!E41-预测财务报表!G14)*利润测试!F18</f>
        <v>62757.874449622468</v>
      </c>
    </row>
    <row r="36" spans="1:7">
      <c r="D36" s="93"/>
      <c r="E36" s="91"/>
      <c r="F36" s="91"/>
    </row>
    <row r="37" spans="1:7">
      <c r="A37" s="71" t="s">
        <v>115</v>
      </c>
      <c r="D37" s="90">
        <f>SUM(D35,D33)</f>
        <v>159484.50559543149</v>
      </c>
      <c r="E37" s="90">
        <f>SUM(E35,E33)</f>
        <v>170461.80243653886</v>
      </c>
      <c r="F37" s="90">
        <f t="shared" ref="F37:G37" si="9">SUM(F35,F33)</f>
        <v>203082.35984998906</v>
      </c>
      <c r="G37" s="90">
        <f t="shared" si="9"/>
        <v>216779.93775471533</v>
      </c>
    </row>
  </sheetData>
  <phoneticPr fontId="4" type="noConversion"/>
  <pageMargins left="0.7" right="0.7" top="0.75" bottom="0.75" header="0.3" footer="0.3"/>
  <pageSetup paperSize="0" orientation="portrait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11"/>
  <sheetViews>
    <sheetView topLeftCell="E1" zoomScale="140" zoomScaleNormal="140" workbookViewId="0">
      <selection activeCell="I10" sqref="I10"/>
    </sheetView>
  </sheetViews>
  <sheetFormatPr defaultRowHeight="12.75"/>
  <cols>
    <col min="1" max="1" width="9" style="1"/>
    <col min="2" max="2" width="14.625" style="1" customWidth="1"/>
    <col min="3" max="3" width="15.375" style="1" customWidth="1"/>
    <col min="4" max="4" width="12.5" style="1" customWidth="1"/>
    <col min="5" max="5" width="14.875" style="1" customWidth="1"/>
    <col min="6" max="6" width="5.625" style="1" customWidth="1"/>
    <col min="7" max="7" width="5.75" style="1" customWidth="1"/>
    <col min="8" max="8" width="5.375" style="1" customWidth="1"/>
    <col min="9" max="9" width="44" style="1" customWidth="1"/>
    <col min="10" max="257" width="9" style="1"/>
    <col min="258" max="258" width="14.625" style="1" customWidth="1"/>
    <col min="259" max="259" width="15.375" style="1" customWidth="1"/>
    <col min="260" max="260" width="12.5" style="1" customWidth="1"/>
    <col min="261" max="261" width="14.875" style="1" customWidth="1"/>
    <col min="262" max="513" width="9" style="1"/>
    <col min="514" max="514" width="14.625" style="1" customWidth="1"/>
    <col min="515" max="515" width="15.375" style="1" customWidth="1"/>
    <col min="516" max="516" width="12.5" style="1" customWidth="1"/>
    <col min="517" max="517" width="14.875" style="1" customWidth="1"/>
    <col min="518" max="769" width="9" style="1"/>
    <col min="770" max="770" width="14.625" style="1" customWidth="1"/>
    <col min="771" max="771" width="15.375" style="1" customWidth="1"/>
    <col min="772" max="772" width="12.5" style="1" customWidth="1"/>
    <col min="773" max="773" width="14.875" style="1" customWidth="1"/>
    <col min="774" max="1025" width="9" style="1"/>
    <col min="1026" max="1026" width="14.625" style="1" customWidth="1"/>
    <col min="1027" max="1027" width="15.375" style="1" customWidth="1"/>
    <col min="1028" max="1028" width="12.5" style="1" customWidth="1"/>
    <col min="1029" max="1029" width="14.875" style="1" customWidth="1"/>
    <col min="1030" max="1281" width="9" style="1"/>
    <col min="1282" max="1282" width="14.625" style="1" customWidth="1"/>
    <col min="1283" max="1283" width="15.375" style="1" customWidth="1"/>
    <col min="1284" max="1284" width="12.5" style="1" customWidth="1"/>
    <col min="1285" max="1285" width="14.875" style="1" customWidth="1"/>
    <col min="1286" max="1537" width="9" style="1"/>
    <col min="1538" max="1538" width="14.625" style="1" customWidth="1"/>
    <col min="1539" max="1539" width="15.375" style="1" customWidth="1"/>
    <col min="1540" max="1540" width="12.5" style="1" customWidth="1"/>
    <col min="1541" max="1541" width="14.875" style="1" customWidth="1"/>
    <col min="1542" max="1793" width="9" style="1"/>
    <col min="1794" max="1794" width="14.625" style="1" customWidth="1"/>
    <col min="1795" max="1795" width="15.375" style="1" customWidth="1"/>
    <col min="1796" max="1796" width="12.5" style="1" customWidth="1"/>
    <col min="1797" max="1797" width="14.875" style="1" customWidth="1"/>
    <col min="1798" max="2049" width="9" style="1"/>
    <col min="2050" max="2050" width="14.625" style="1" customWidth="1"/>
    <col min="2051" max="2051" width="15.375" style="1" customWidth="1"/>
    <col min="2052" max="2052" width="12.5" style="1" customWidth="1"/>
    <col min="2053" max="2053" width="14.875" style="1" customWidth="1"/>
    <col min="2054" max="2305" width="9" style="1"/>
    <col min="2306" max="2306" width="14.625" style="1" customWidth="1"/>
    <col min="2307" max="2307" width="15.375" style="1" customWidth="1"/>
    <col min="2308" max="2308" width="12.5" style="1" customWidth="1"/>
    <col min="2309" max="2309" width="14.875" style="1" customWidth="1"/>
    <col min="2310" max="2561" width="9" style="1"/>
    <col min="2562" max="2562" width="14.625" style="1" customWidth="1"/>
    <col min="2563" max="2563" width="15.375" style="1" customWidth="1"/>
    <col min="2564" max="2564" width="12.5" style="1" customWidth="1"/>
    <col min="2565" max="2565" width="14.875" style="1" customWidth="1"/>
    <col min="2566" max="2817" width="9" style="1"/>
    <col min="2818" max="2818" width="14.625" style="1" customWidth="1"/>
    <col min="2819" max="2819" width="15.375" style="1" customWidth="1"/>
    <col min="2820" max="2820" width="12.5" style="1" customWidth="1"/>
    <col min="2821" max="2821" width="14.875" style="1" customWidth="1"/>
    <col min="2822" max="3073" width="9" style="1"/>
    <col min="3074" max="3074" width="14.625" style="1" customWidth="1"/>
    <col min="3075" max="3075" width="15.375" style="1" customWidth="1"/>
    <col min="3076" max="3076" width="12.5" style="1" customWidth="1"/>
    <col min="3077" max="3077" width="14.875" style="1" customWidth="1"/>
    <col min="3078" max="3329" width="9" style="1"/>
    <col min="3330" max="3330" width="14.625" style="1" customWidth="1"/>
    <col min="3331" max="3331" width="15.375" style="1" customWidth="1"/>
    <col min="3332" max="3332" width="12.5" style="1" customWidth="1"/>
    <col min="3333" max="3333" width="14.875" style="1" customWidth="1"/>
    <col min="3334" max="3585" width="9" style="1"/>
    <col min="3586" max="3586" width="14.625" style="1" customWidth="1"/>
    <col min="3587" max="3587" width="15.375" style="1" customWidth="1"/>
    <col min="3588" max="3588" width="12.5" style="1" customWidth="1"/>
    <col min="3589" max="3589" width="14.875" style="1" customWidth="1"/>
    <col min="3590" max="3841" width="9" style="1"/>
    <col min="3842" max="3842" width="14.625" style="1" customWidth="1"/>
    <col min="3843" max="3843" width="15.375" style="1" customWidth="1"/>
    <col min="3844" max="3844" width="12.5" style="1" customWidth="1"/>
    <col min="3845" max="3845" width="14.875" style="1" customWidth="1"/>
    <col min="3846" max="4097" width="9" style="1"/>
    <col min="4098" max="4098" width="14.625" style="1" customWidth="1"/>
    <col min="4099" max="4099" width="15.375" style="1" customWidth="1"/>
    <col min="4100" max="4100" width="12.5" style="1" customWidth="1"/>
    <col min="4101" max="4101" width="14.875" style="1" customWidth="1"/>
    <col min="4102" max="4353" width="9" style="1"/>
    <col min="4354" max="4354" width="14.625" style="1" customWidth="1"/>
    <col min="4355" max="4355" width="15.375" style="1" customWidth="1"/>
    <col min="4356" max="4356" width="12.5" style="1" customWidth="1"/>
    <col min="4357" max="4357" width="14.875" style="1" customWidth="1"/>
    <col min="4358" max="4609" width="9" style="1"/>
    <col min="4610" max="4610" width="14.625" style="1" customWidth="1"/>
    <col min="4611" max="4611" width="15.375" style="1" customWidth="1"/>
    <col min="4612" max="4612" width="12.5" style="1" customWidth="1"/>
    <col min="4613" max="4613" width="14.875" style="1" customWidth="1"/>
    <col min="4614" max="4865" width="9" style="1"/>
    <col min="4866" max="4866" width="14.625" style="1" customWidth="1"/>
    <col min="4867" max="4867" width="15.375" style="1" customWidth="1"/>
    <col min="4868" max="4868" width="12.5" style="1" customWidth="1"/>
    <col min="4869" max="4869" width="14.875" style="1" customWidth="1"/>
    <col min="4870" max="5121" width="9" style="1"/>
    <col min="5122" max="5122" width="14.625" style="1" customWidth="1"/>
    <col min="5123" max="5123" width="15.375" style="1" customWidth="1"/>
    <col min="5124" max="5124" width="12.5" style="1" customWidth="1"/>
    <col min="5125" max="5125" width="14.875" style="1" customWidth="1"/>
    <col min="5126" max="5377" width="9" style="1"/>
    <col min="5378" max="5378" width="14.625" style="1" customWidth="1"/>
    <col min="5379" max="5379" width="15.375" style="1" customWidth="1"/>
    <col min="5380" max="5380" width="12.5" style="1" customWidth="1"/>
    <col min="5381" max="5381" width="14.875" style="1" customWidth="1"/>
    <col min="5382" max="5633" width="9" style="1"/>
    <col min="5634" max="5634" width="14.625" style="1" customWidth="1"/>
    <col min="5635" max="5635" width="15.375" style="1" customWidth="1"/>
    <col min="5636" max="5636" width="12.5" style="1" customWidth="1"/>
    <col min="5637" max="5637" width="14.875" style="1" customWidth="1"/>
    <col min="5638" max="5889" width="9" style="1"/>
    <col min="5890" max="5890" width="14.625" style="1" customWidth="1"/>
    <col min="5891" max="5891" width="15.375" style="1" customWidth="1"/>
    <col min="5892" max="5892" width="12.5" style="1" customWidth="1"/>
    <col min="5893" max="5893" width="14.875" style="1" customWidth="1"/>
    <col min="5894" max="6145" width="9" style="1"/>
    <col min="6146" max="6146" width="14.625" style="1" customWidth="1"/>
    <col min="6147" max="6147" width="15.375" style="1" customWidth="1"/>
    <col min="6148" max="6148" width="12.5" style="1" customWidth="1"/>
    <col min="6149" max="6149" width="14.875" style="1" customWidth="1"/>
    <col min="6150" max="6401" width="9" style="1"/>
    <col min="6402" max="6402" width="14.625" style="1" customWidth="1"/>
    <col min="6403" max="6403" width="15.375" style="1" customWidth="1"/>
    <col min="6404" max="6404" width="12.5" style="1" customWidth="1"/>
    <col min="6405" max="6405" width="14.875" style="1" customWidth="1"/>
    <col min="6406" max="6657" width="9" style="1"/>
    <col min="6658" max="6658" width="14.625" style="1" customWidth="1"/>
    <col min="6659" max="6659" width="15.375" style="1" customWidth="1"/>
    <col min="6660" max="6660" width="12.5" style="1" customWidth="1"/>
    <col min="6661" max="6661" width="14.875" style="1" customWidth="1"/>
    <col min="6662" max="6913" width="9" style="1"/>
    <col min="6914" max="6914" width="14.625" style="1" customWidth="1"/>
    <col min="6915" max="6915" width="15.375" style="1" customWidth="1"/>
    <col min="6916" max="6916" width="12.5" style="1" customWidth="1"/>
    <col min="6917" max="6917" width="14.875" style="1" customWidth="1"/>
    <col min="6918" max="7169" width="9" style="1"/>
    <col min="7170" max="7170" width="14.625" style="1" customWidth="1"/>
    <col min="7171" max="7171" width="15.375" style="1" customWidth="1"/>
    <col min="7172" max="7172" width="12.5" style="1" customWidth="1"/>
    <col min="7173" max="7173" width="14.875" style="1" customWidth="1"/>
    <col min="7174" max="7425" width="9" style="1"/>
    <col min="7426" max="7426" width="14.625" style="1" customWidth="1"/>
    <col min="7427" max="7427" width="15.375" style="1" customWidth="1"/>
    <col min="7428" max="7428" width="12.5" style="1" customWidth="1"/>
    <col min="7429" max="7429" width="14.875" style="1" customWidth="1"/>
    <col min="7430" max="7681" width="9" style="1"/>
    <col min="7682" max="7682" width="14.625" style="1" customWidth="1"/>
    <col min="7683" max="7683" width="15.375" style="1" customWidth="1"/>
    <col min="7684" max="7684" width="12.5" style="1" customWidth="1"/>
    <col min="7685" max="7685" width="14.875" style="1" customWidth="1"/>
    <col min="7686" max="7937" width="9" style="1"/>
    <col min="7938" max="7938" width="14.625" style="1" customWidth="1"/>
    <col min="7939" max="7939" width="15.375" style="1" customWidth="1"/>
    <col min="7940" max="7940" width="12.5" style="1" customWidth="1"/>
    <col min="7941" max="7941" width="14.875" style="1" customWidth="1"/>
    <col min="7942" max="8193" width="9" style="1"/>
    <col min="8194" max="8194" width="14.625" style="1" customWidth="1"/>
    <col min="8195" max="8195" width="15.375" style="1" customWidth="1"/>
    <col min="8196" max="8196" width="12.5" style="1" customWidth="1"/>
    <col min="8197" max="8197" width="14.875" style="1" customWidth="1"/>
    <col min="8198" max="8449" width="9" style="1"/>
    <col min="8450" max="8450" width="14.625" style="1" customWidth="1"/>
    <col min="8451" max="8451" width="15.375" style="1" customWidth="1"/>
    <col min="8452" max="8452" width="12.5" style="1" customWidth="1"/>
    <col min="8453" max="8453" width="14.875" style="1" customWidth="1"/>
    <col min="8454" max="8705" width="9" style="1"/>
    <col min="8706" max="8706" width="14.625" style="1" customWidth="1"/>
    <col min="8707" max="8707" width="15.375" style="1" customWidth="1"/>
    <col min="8708" max="8708" width="12.5" style="1" customWidth="1"/>
    <col min="8709" max="8709" width="14.875" style="1" customWidth="1"/>
    <col min="8710" max="8961" width="9" style="1"/>
    <col min="8962" max="8962" width="14.625" style="1" customWidth="1"/>
    <col min="8963" max="8963" width="15.375" style="1" customWidth="1"/>
    <col min="8964" max="8964" width="12.5" style="1" customWidth="1"/>
    <col min="8965" max="8965" width="14.875" style="1" customWidth="1"/>
    <col min="8966" max="9217" width="9" style="1"/>
    <col min="9218" max="9218" width="14.625" style="1" customWidth="1"/>
    <col min="9219" max="9219" width="15.375" style="1" customWidth="1"/>
    <col min="9220" max="9220" width="12.5" style="1" customWidth="1"/>
    <col min="9221" max="9221" width="14.875" style="1" customWidth="1"/>
    <col min="9222" max="9473" width="9" style="1"/>
    <col min="9474" max="9474" width="14.625" style="1" customWidth="1"/>
    <col min="9475" max="9475" width="15.375" style="1" customWidth="1"/>
    <col min="9476" max="9476" width="12.5" style="1" customWidth="1"/>
    <col min="9477" max="9477" width="14.875" style="1" customWidth="1"/>
    <col min="9478" max="9729" width="9" style="1"/>
    <col min="9730" max="9730" width="14.625" style="1" customWidth="1"/>
    <col min="9731" max="9731" width="15.375" style="1" customWidth="1"/>
    <col min="9732" max="9732" width="12.5" style="1" customWidth="1"/>
    <col min="9733" max="9733" width="14.875" style="1" customWidth="1"/>
    <col min="9734" max="9985" width="9" style="1"/>
    <col min="9986" max="9986" width="14.625" style="1" customWidth="1"/>
    <col min="9987" max="9987" width="15.375" style="1" customWidth="1"/>
    <col min="9988" max="9988" width="12.5" style="1" customWidth="1"/>
    <col min="9989" max="9989" width="14.875" style="1" customWidth="1"/>
    <col min="9990" max="10241" width="9" style="1"/>
    <col min="10242" max="10242" width="14.625" style="1" customWidth="1"/>
    <col min="10243" max="10243" width="15.375" style="1" customWidth="1"/>
    <col min="10244" max="10244" width="12.5" style="1" customWidth="1"/>
    <col min="10245" max="10245" width="14.875" style="1" customWidth="1"/>
    <col min="10246" max="10497" width="9" style="1"/>
    <col min="10498" max="10498" width="14.625" style="1" customWidth="1"/>
    <col min="10499" max="10499" width="15.375" style="1" customWidth="1"/>
    <col min="10500" max="10500" width="12.5" style="1" customWidth="1"/>
    <col min="10501" max="10501" width="14.875" style="1" customWidth="1"/>
    <col min="10502" max="10753" width="9" style="1"/>
    <col min="10754" max="10754" width="14.625" style="1" customWidth="1"/>
    <col min="10755" max="10755" width="15.375" style="1" customWidth="1"/>
    <col min="10756" max="10756" width="12.5" style="1" customWidth="1"/>
    <col min="10757" max="10757" width="14.875" style="1" customWidth="1"/>
    <col min="10758" max="11009" width="9" style="1"/>
    <col min="11010" max="11010" width="14.625" style="1" customWidth="1"/>
    <col min="11011" max="11011" width="15.375" style="1" customWidth="1"/>
    <col min="11012" max="11012" width="12.5" style="1" customWidth="1"/>
    <col min="11013" max="11013" width="14.875" style="1" customWidth="1"/>
    <col min="11014" max="11265" width="9" style="1"/>
    <col min="11266" max="11266" width="14.625" style="1" customWidth="1"/>
    <col min="11267" max="11267" width="15.375" style="1" customWidth="1"/>
    <col min="11268" max="11268" width="12.5" style="1" customWidth="1"/>
    <col min="11269" max="11269" width="14.875" style="1" customWidth="1"/>
    <col min="11270" max="11521" width="9" style="1"/>
    <col min="11522" max="11522" width="14.625" style="1" customWidth="1"/>
    <col min="11523" max="11523" width="15.375" style="1" customWidth="1"/>
    <col min="11524" max="11524" width="12.5" style="1" customWidth="1"/>
    <col min="11525" max="11525" width="14.875" style="1" customWidth="1"/>
    <col min="11526" max="11777" width="9" style="1"/>
    <col min="11778" max="11778" width="14.625" style="1" customWidth="1"/>
    <col min="11779" max="11779" width="15.375" style="1" customWidth="1"/>
    <col min="11780" max="11780" width="12.5" style="1" customWidth="1"/>
    <col min="11781" max="11781" width="14.875" style="1" customWidth="1"/>
    <col min="11782" max="12033" width="9" style="1"/>
    <col min="12034" max="12034" width="14.625" style="1" customWidth="1"/>
    <col min="12035" max="12035" width="15.375" style="1" customWidth="1"/>
    <col min="12036" max="12036" width="12.5" style="1" customWidth="1"/>
    <col min="12037" max="12037" width="14.875" style="1" customWidth="1"/>
    <col min="12038" max="12289" width="9" style="1"/>
    <col min="12290" max="12290" width="14.625" style="1" customWidth="1"/>
    <col min="12291" max="12291" width="15.375" style="1" customWidth="1"/>
    <col min="12292" max="12292" width="12.5" style="1" customWidth="1"/>
    <col min="12293" max="12293" width="14.875" style="1" customWidth="1"/>
    <col min="12294" max="12545" width="9" style="1"/>
    <col min="12546" max="12546" width="14.625" style="1" customWidth="1"/>
    <col min="12547" max="12547" width="15.375" style="1" customWidth="1"/>
    <col min="12548" max="12548" width="12.5" style="1" customWidth="1"/>
    <col min="12549" max="12549" width="14.875" style="1" customWidth="1"/>
    <col min="12550" max="12801" width="9" style="1"/>
    <col min="12802" max="12802" width="14.625" style="1" customWidth="1"/>
    <col min="12803" max="12803" width="15.375" style="1" customWidth="1"/>
    <col min="12804" max="12804" width="12.5" style="1" customWidth="1"/>
    <col min="12805" max="12805" width="14.875" style="1" customWidth="1"/>
    <col min="12806" max="13057" width="9" style="1"/>
    <col min="13058" max="13058" width="14.625" style="1" customWidth="1"/>
    <col min="13059" max="13059" width="15.375" style="1" customWidth="1"/>
    <col min="13060" max="13060" width="12.5" style="1" customWidth="1"/>
    <col min="13061" max="13061" width="14.875" style="1" customWidth="1"/>
    <col min="13062" max="13313" width="9" style="1"/>
    <col min="13314" max="13314" width="14.625" style="1" customWidth="1"/>
    <col min="13315" max="13315" width="15.375" style="1" customWidth="1"/>
    <col min="13316" max="13316" width="12.5" style="1" customWidth="1"/>
    <col min="13317" max="13317" width="14.875" style="1" customWidth="1"/>
    <col min="13318" max="13569" width="9" style="1"/>
    <col min="13570" max="13570" width="14.625" style="1" customWidth="1"/>
    <col min="13571" max="13571" width="15.375" style="1" customWidth="1"/>
    <col min="13572" max="13572" width="12.5" style="1" customWidth="1"/>
    <col min="13573" max="13573" width="14.875" style="1" customWidth="1"/>
    <col min="13574" max="13825" width="9" style="1"/>
    <col min="13826" max="13826" width="14.625" style="1" customWidth="1"/>
    <col min="13827" max="13827" width="15.375" style="1" customWidth="1"/>
    <col min="13828" max="13828" width="12.5" style="1" customWidth="1"/>
    <col min="13829" max="13829" width="14.875" style="1" customWidth="1"/>
    <col min="13830" max="14081" width="9" style="1"/>
    <col min="14082" max="14082" width="14.625" style="1" customWidth="1"/>
    <col min="14083" max="14083" width="15.375" style="1" customWidth="1"/>
    <col min="14084" max="14084" width="12.5" style="1" customWidth="1"/>
    <col min="14085" max="14085" width="14.875" style="1" customWidth="1"/>
    <col min="14086" max="14337" width="9" style="1"/>
    <col min="14338" max="14338" width="14.625" style="1" customWidth="1"/>
    <col min="14339" max="14339" width="15.375" style="1" customWidth="1"/>
    <col min="14340" max="14340" width="12.5" style="1" customWidth="1"/>
    <col min="14341" max="14341" width="14.875" style="1" customWidth="1"/>
    <col min="14342" max="14593" width="9" style="1"/>
    <col min="14594" max="14594" width="14.625" style="1" customWidth="1"/>
    <col min="14595" max="14595" width="15.375" style="1" customWidth="1"/>
    <col min="14596" max="14596" width="12.5" style="1" customWidth="1"/>
    <col min="14597" max="14597" width="14.875" style="1" customWidth="1"/>
    <col min="14598" max="14849" width="9" style="1"/>
    <col min="14850" max="14850" width="14.625" style="1" customWidth="1"/>
    <col min="14851" max="14851" width="15.375" style="1" customWidth="1"/>
    <col min="14852" max="14852" width="12.5" style="1" customWidth="1"/>
    <col min="14853" max="14853" width="14.875" style="1" customWidth="1"/>
    <col min="14854" max="15105" width="9" style="1"/>
    <col min="15106" max="15106" width="14.625" style="1" customWidth="1"/>
    <col min="15107" max="15107" width="15.375" style="1" customWidth="1"/>
    <col min="15108" max="15108" width="12.5" style="1" customWidth="1"/>
    <col min="15109" max="15109" width="14.875" style="1" customWidth="1"/>
    <col min="15110" max="15361" width="9" style="1"/>
    <col min="15362" max="15362" width="14.625" style="1" customWidth="1"/>
    <col min="15363" max="15363" width="15.375" style="1" customWidth="1"/>
    <col min="15364" max="15364" width="12.5" style="1" customWidth="1"/>
    <col min="15365" max="15365" width="14.875" style="1" customWidth="1"/>
    <col min="15366" max="15617" width="9" style="1"/>
    <col min="15618" max="15618" width="14.625" style="1" customWidth="1"/>
    <col min="15619" max="15619" width="15.375" style="1" customWidth="1"/>
    <col min="15620" max="15620" width="12.5" style="1" customWidth="1"/>
    <col min="15621" max="15621" width="14.875" style="1" customWidth="1"/>
    <col min="15622" max="15873" width="9" style="1"/>
    <col min="15874" max="15874" width="14.625" style="1" customWidth="1"/>
    <col min="15875" max="15875" width="15.375" style="1" customWidth="1"/>
    <col min="15876" max="15876" width="12.5" style="1" customWidth="1"/>
    <col min="15877" max="15877" width="14.875" style="1" customWidth="1"/>
    <col min="15878" max="16129" width="9" style="1"/>
    <col min="16130" max="16130" width="14.625" style="1" customWidth="1"/>
    <col min="16131" max="16131" width="15.375" style="1" customWidth="1"/>
    <col min="16132" max="16132" width="12.5" style="1" customWidth="1"/>
    <col min="16133" max="16133" width="14.875" style="1" customWidth="1"/>
    <col min="16134" max="16384" width="9" style="1"/>
  </cols>
  <sheetData>
    <row r="1" spans="1:11">
      <c r="H1" s="82">
        <v>0.04</v>
      </c>
      <c r="I1" s="85" t="s">
        <v>104</v>
      </c>
    </row>
    <row r="2" spans="1:11" ht="14.25">
      <c r="G2" s="84" t="s">
        <v>102</v>
      </c>
      <c r="H2" s="83">
        <f>1/(1+H1)</f>
        <v>0.96153846153846145</v>
      </c>
      <c r="I2" s="85" t="s">
        <v>105</v>
      </c>
      <c r="J2" s="86" t="s">
        <v>107</v>
      </c>
    </row>
    <row r="3" spans="1:11">
      <c r="A3" s="96" t="s">
        <v>0</v>
      </c>
      <c r="B3" s="96" t="s">
        <v>1</v>
      </c>
      <c r="C3" s="97"/>
      <c r="D3" s="96" t="s">
        <v>2</v>
      </c>
      <c r="E3" s="97"/>
      <c r="G3" s="84" t="s">
        <v>103</v>
      </c>
      <c r="H3" s="1">
        <v>10</v>
      </c>
      <c r="I3" s="1" t="s">
        <v>106</v>
      </c>
    </row>
    <row r="4" spans="1:11">
      <c r="A4" s="97"/>
      <c r="B4" s="2" t="s">
        <v>3</v>
      </c>
      <c r="C4" s="2" t="s">
        <v>4</v>
      </c>
      <c r="D4" s="2" t="s">
        <v>5</v>
      </c>
      <c r="E4" s="2" t="s">
        <v>6</v>
      </c>
    </row>
    <row r="5" spans="1:11">
      <c r="A5" s="3"/>
      <c r="B5" s="2" t="s">
        <v>7</v>
      </c>
      <c r="C5" s="2" t="s">
        <v>8</v>
      </c>
      <c r="D5" s="2" t="s">
        <v>7</v>
      </c>
      <c r="E5" s="2" t="s">
        <v>8</v>
      </c>
      <c r="F5" s="1" t="s">
        <v>9</v>
      </c>
      <c r="G5" s="1" t="s">
        <v>10</v>
      </c>
      <c r="H5" s="1" t="s">
        <v>101</v>
      </c>
      <c r="I5" s="84">
        <v>10</v>
      </c>
      <c r="J5" s="1">
        <v>15</v>
      </c>
      <c r="K5" s="1">
        <v>20</v>
      </c>
    </row>
    <row r="6" spans="1:11" ht="15.75">
      <c r="A6" s="4">
        <v>0</v>
      </c>
      <c r="B6" s="5">
        <v>7.2199999999999999E-4</v>
      </c>
      <c r="C6" s="5">
        <v>6.6100000000000002E-4</v>
      </c>
      <c r="D6" s="5">
        <v>6.2699999999999995E-4</v>
      </c>
      <c r="E6" s="5">
        <v>5.7499999999999999E-4</v>
      </c>
      <c r="F6" s="1">
        <v>100000</v>
      </c>
      <c r="G6" s="6">
        <f>F6*B6</f>
        <v>72.2</v>
      </c>
      <c r="H6" s="1">
        <v>1</v>
      </c>
      <c r="I6" s="1">
        <f ca="1">SUMPRODUCT($G6:OFFSET($G6,I$5-1,0),$H$7:INDEX($H$7:$H$200,I$5))/$F6</f>
        <v>3.4836628438397067E-3</v>
      </c>
      <c r="J6" s="1">
        <f ca="1">SUMPRODUCT($G6:OFFSET($G6,J$5-1,0),$H$7:INDEX($H$7:$H$200,J$5))/$F6</f>
        <v>4.4359895705041834E-3</v>
      </c>
      <c r="K6" s="1">
        <f ca="1">SUMPRODUCT($G6:OFFSET($G6,K$5-1,0),$H$7:INDEX($H$7:$H$200,K$5))/$F6</f>
        <v>5.559398010673091E-3</v>
      </c>
    </row>
    <row r="7" spans="1:11" ht="15.75">
      <c r="A7" s="1">
        <v>1</v>
      </c>
      <c r="B7" s="7">
        <v>6.0300000000000002E-4</v>
      </c>
      <c r="C7" s="7">
        <v>5.3600000000000002E-4</v>
      </c>
      <c r="D7" s="7">
        <v>5.2499999999999997E-4</v>
      </c>
      <c r="E7" s="7">
        <v>4.66E-4</v>
      </c>
      <c r="F7" s="1">
        <f>F6-G6</f>
        <v>99927.8</v>
      </c>
      <c r="G7" s="6">
        <f>F7*B7</f>
        <v>60.256463400000001</v>
      </c>
      <c r="H7" s="1">
        <f t="shared" ref="H7:H38" si="0">v0*H6</f>
        <v>0.96153846153846145</v>
      </c>
      <c r="I7" s="1">
        <f ca="1">SUMPRODUCT($G7:OFFSET($G7,I$5-1,0),$H$7:INDEX($H$7:$H$200,I$5))/$F7</f>
        <v>3.1131576592479957E-3</v>
      </c>
      <c r="J7" s="1">
        <f ca="1">SUMPRODUCT($G7:OFFSET($G7,J$5-1,0),$H$7:INDEX($H$7:$H$200,J$5))/$F7</f>
        <v>4.0953423875024252E-3</v>
      </c>
      <c r="K7" s="1">
        <f ca="1">SUMPRODUCT($G7:OFFSET($G7,K$5-1,0),$H$7:INDEX($H$7:$H$200,K$5))/$F7</f>
        <v>5.344772938679682E-3</v>
      </c>
    </row>
    <row r="8" spans="1:11" ht="15.75">
      <c r="A8" s="1">
        <v>2</v>
      </c>
      <c r="B8" s="7">
        <v>4.9899999999999999E-4</v>
      </c>
      <c r="C8" s="7">
        <v>4.2400000000000001E-4</v>
      </c>
      <c r="D8" s="7">
        <v>4.3399999999999998E-4</v>
      </c>
      <c r="E8" s="7">
        <v>3.6900000000000002E-4</v>
      </c>
      <c r="F8" s="1">
        <f t="shared" ref="F8:F71" si="1">F7-G7</f>
        <v>99867.543536600002</v>
      </c>
      <c r="G8" s="6">
        <f t="shared" ref="G8:G71" si="2">F8*B8</f>
        <v>49.833904224763401</v>
      </c>
      <c r="H8" s="1">
        <f t="shared" si="0"/>
        <v>0.92455621301775126</v>
      </c>
      <c r="I8" s="1">
        <f ca="1">SUMPRODUCT($G8:OFFSET($G8,I$5-1,0),$H$7:INDEX($H$7:$H$200,I$5))/$F8</f>
        <v>2.8463870602663966E-3</v>
      </c>
      <c r="J8" s="1">
        <f ca="1">SUMPRODUCT($G8:OFFSET($G8,J$5-1,0),$H$7:INDEX($H$7:$H$200,J$5))/$F8</f>
        <v>3.881616120883627E-3</v>
      </c>
      <c r="K8" s="1">
        <f ca="1">SUMPRODUCT($G8:OFFSET($G8,K$5-1,0),$H$7:INDEX($H$7:$H$200,K$5))/$F8</f>
        <v>5.258013627876831E-3</v>
      </c>
    </row>
    <row r="9" spans="1:11" ht="15.75">
      <c r="A9" s="1">
        <v>3</v>
      </c>
      <c r="B9" s="7">
        <v>4.1599999999999997E-4</v>
      </c>
      <c r="C9" s="7">
        <v>3.3300000000000002E-4</v>
      </c>
      <c r="D9" s="7">
        <v>3.6200000000000002E-4</v>
      </c>
      <c r="E9" s="7">
        <v>2.9E-4</v>
      </c>
      <c r="F9" s="1">
        <f t="shared" si="1"/>
        <v>99817.709632375234</v>
      </c>
      <c r="G9" s="6">
        <f t="shared" si="2"/>
        <v>41.524167207068096</v>
      </c>
      <c r="H9" s="1">
        <f t="shared" si="0"/>
        <v>0.88899635867091464</v>
      </c>
      <c r="I9" s="1">
        <f ca="1">SUMPRODUCT($G9:OFFSET($G9,I$5-1,0),$H$7:INDEX($H$7:$H$200,I$5))/$F9</f>
        <v>2.6732976147842359E-3</v>
      </c>
      <c r="J9" s="1">
        <f ca="1">SUMPRODUCT($G9:OFFSET($G9,J$5-1,0),$H$7:INDEX($H$7:$H$200,J$5))/$F9</f>
        <v>3.7911080538023012E-3</v>
      </c>
      <c r="K9" s="1">
        <f ca="1">SUMPRODUCT($G9:OFFSET($G9,K$5-1,0),$H$7:INDEX($H$7:$H$200,K$5))/$F9</f>
        <v>5.2852683145739356E-3</v>
      </c>
    </row>
    <row r="10" spans="1:11" ht="15.75">
      <c r="A10" s="1">
        <v>4</v>
      </c>
      <c r="B10" s="7">
        <v>3.5799999999999997E-4</v>
      </c>
      <c r="C10" s="7">
        <v>2.6699999999999998E-4</v>
      </c>
      <c r="D10" s="7">
        <v>3.1100000000000002E-4</v>
      </c>
      <c r="E10" s="7">
        <v>2.32E-4</v>
      </c>
      <c r="F10" s="1">
        <f t="shared" si="1"/>
        <v>99776.185465168164</v>
      </c>
      <c r="G10" s="6">
        <f t="shared" si="2"/>
        <v>35.719874396530201</v>
      </c>
      <c r="H10" s="1">
        <f t="shared" si="0"/>
        <v>0.85480419102972549</v>
      </c>
      <c r="I10" s="1">
        <f ca="1">SUMPRODUCT($G10:OFFSET($G10,I$5-1,0),$H$7:INDEX($H$7:$H$200,I$5))/$F10</f>
        <v>2.5807769222317444E-3</v>
      </c>
      <c r="J10" s="1">
        <f ca="1">SUMPRODUCT($G10:OFFSET($G10,J$5-1,0),$H$7:INDEX($H$7:$H$200,J$5))/$F10</f>
        <v>3.8117244277936445E-3</v>
      </c>
      <c r="K10" s="1">
        <f ca="1">SUMPRODUCT($G10:OFFSET($G10,K$5-1,0),$H$7:INDEX($H$7:$H$200,K$5))/$F10</f>
        <v>5.4070283537506385E-3</v>
      </c>
    </row>
    <row r="11" spans="1:11" ht="15.75">
      <c r="A11" s="1">
        <v>5</v>
      </c>
      <c r="B11" s="7">
        <v>3.2299999999999999E-4</v>
      </c>
      <c r="C11" s="7">
        <v>2.24E-4</v>
      </c>
      <c r="D11" s="7">
        <v>2.81E-4</v>
      </c>
      <c r="E11" s="7">
        <v>1.95E-4</v>
      </c>
      <c r="F11" s="1">
        <f t="shared" si="1"/>
        <v>99740.465590771637</v>
      </c>
      <c r="G11" s="6">
        <f t="shared" si="2"/>
        <v>32.21617038581924</v>
      </c>
      <c r="H11" s="1">
        <f t="shared" si="0"/>
        <v>0.82192710675935132</v>
      </c>
      <c r="I11" s="1">
        <f ca="1">SUMPRODUCT($G11:OFFSET($G11,I$5-1,0),$H$7:INDEX($H$7:$H$200,I$5))/$F11</f>
        <v>2.5531912600296066E-3</v>
      </c>
      <c r="J11" s="1">
        <f ca="1">SUMPRODUCT($G11:OFFSET($G11,J$5-1,0),$H$7:INDEX($H$7:$H$200,J$5))/$F11</f>
        <v>3.923545941268051E-3</v>
      </c>
      <c r="K11" s="1">
        <f ca="1">SUMPRODUCT($G11:OFFSET($G11,K$5-1,0),$H$7:INDEX($H$7:$H$200,K$5))/$F11</f>
        <v>5.601272846521556E-3</v>
      </c>
    </row>
    <row r="12" spans="1:11" ht="15.75">
      <c r="A12" s="1">
        <v>6</v>
      </c>
      <c r="B12" s="7">
        <v>3.0899999999999998E-4</v>
      </c>
      <c r="C12" s="7">
        <v>2.0100000000000001E-4</v>
      </c>
      <c r="D12" s="7">
        <v>2.6899999999999998E-4</v>
      </c>
      <c r="E12" s="7">
        <v>1.75E-4</v>
      </c>
      <c r="F12" s="1">
        <f t="shared" si="1"/>
        <v>99708.249420385822</v>
      </c>
      <c r="G12" s="6">
        <f t="shared" si="2"/>
        <v>30.809849070899215</v>
      </c>
      <c r="H12" s="1">
        <f t="shared" si="0"/>
        <v>0.79031452573014538</v>
      </c>
      <c r="I12" s="1">
        <f ca="1">SUMPRODUCT($G12:OFFSET($G12,I$5-1,0),$H$7:INDEX($H$7:$H$200,I$5))/$F12</f>
        <v>2.5782820768632461E-3</v>
      </c>
      <c r="J12" s="1">
        <f ca="1">SUMPRODUCT($G12:OFFSET($G12,J$5-1,0),$H$7:INDEX($H$7:$H$200,J$5))/$F12</f>
        <v>4.101752588320468E-3</v>
      </c>
      <c r="K12" s="1">
        <f ca="1">SUMPRODUCT($G12:OFFSET($G12,K$5-1,0),$H$7:INDEX($H$7:$H$200,K$5))/$F12</f>
        <v>5.8475429306268211E-3</v>
      </c>
    </row>
    <row r="13" spans="1:11" ht="15.75">
      <c r="A13" s="1">
        <v>7</v>
      </c>
      <c r="B13" s="7">
        <v>3.0800000000000001E-4</v>
      </c>
      <c r="C13" s="7">
        <v>1.8900000000000001E-4</v>
      </c>
      <c r="D13" s="7">
        <v>2.6800000000000001E-4</v>
      </c>
      <c r="E13" s="7">
        <v>1.64E-4</v>
      </c>
      <c r="F13" s="1">
        <f t="shared" si="1"/>
        <v>99677.439571314928</v>
      </c>
      <c r="G13" s="6">
        <f t="shared" si="2"/>
        <v>30.700651387964999</v>
      </c>
      <c r="H13" s="1">
        <f t="shared" si="0"/>
        <v>0.75991781320206275</v>
      </c>
      <c r="I13" s="1">
        <f ca="1">SUMPRODUCT($G13:OFFSET($G13,I$5-1,0),$H$7:INDEX($H$7:$H$200,I$5))/$F13</f>
        <v>2.6452873812176599E-3</v>
      </c>
      <c r="J13" s="1">
        <f ca="1">SUMPRODUCT($G13:OFFSET($G13,J$5-1,0),$H$7:INDEX($H$7:$H$200,J$5))/$F13</f>
        <v>4.3230791820665646E-3</v>
      </c>
      <c r="K13" s="1">
        <f ca="1">SUMPRODUCT($G13:OFFSET($G13,K$5-1,0),$H$7:INDEX($H$7:$H$200,K$5))/$F13</f>
        <v>6.126561397772407E-3</v>
      </c>
    </row>
    <row r="14" spans="1:11" ht="15.75">
      <c r="A14" s="1">
        <v>8</v>
      </c>
      <c r="B14" s="7">
        <v>3.1100000000000002E-4</v>
      </c>
      <c r="C14" s="7">
        <v>1.8100000000000001E-4</v>
      </c>
      <c r="D14" s="7">
        <v>2.7E-4</v>
      </c>
      <c r="E14" s="7">
        <v>1.5799999999999999E-4</v>
      </c>
      <c r="F14" s="1">
        <f t="shared" si="1"/>
        <v>99646.738919926967</v>
      </c>
      <c r="G14" s="6">
        <f t="shared" si="2"/>
        <v>30.990135804097289</v>
      </c>
      <c r="H14" s="1">
        <f t="shared" si="0"/>
        <v>0.73069020500198334</v>
      </c>
      <c r="I14" s="1">
        <f ca="1">SUMPRODUCT($G14:OFFSET($G14,I$5-1,0),$H$7:INDEX($H$7:$H$200,I$5))/$F14</f>
        <v>2.7503172668093159E-3</v>
      </c>
      <c r="J14" s="1">
        <f ca="1">SUMPRODUCT($G14:OFFSET($G14,J$5-1,0),$H$7:INDEX($H$7:$H$200,J$5))/$F14</f>
        <v>4.5713107359656871E-3</v>
      </c>
      <c r="K14" s="1">
        <f ca="1">SUMPRODUCT($G14:OFFSET($G14,K$5-1,0),$H$7:INDEX($H$7:$H$200,K$5))/$F14</f>
        <v>6.4248917404973738E-3</v>
      </c>
    </row>
    <row r="15" spans="1:11" ht="15.75">
      <c r="A15" s="1">
        <v>9</v>
      </c>
      <c r="B15" s="7">
        <v>3.1199999999999999E-4</v>
      </c>
      <c r="C15" s="7">
        <v>1.75E-4</v>
      </c>
      <c r="D15" s="7">
        <v>2.7099999999999997E-4</v>
      </c>
      <c r="E15" s="7">
        <v>1.5200000000000001E-4</v>
      </c>
      <c r="F15" s="1">
        <f t="shared" si="1"/>
        <v>99615.748784122872</v>
      </c>
      <c r="G15" s="6">
        <f t="shared" si="2"/>
        <v>31.080113620646337</v>
      </c>
      <c r="H15" s="1">
        <f t="shared" si="0"/>
        <v>0.70258673557883011</v>
      </c>
      <c r="I15" s="1">
        <f ca="1">SUMPRODUCT($G15:OFFSET($G15,I$5-1,0),$H$7:INDEX($H$7:$H$200,I$5))/$F15</f>
        <v>2.89560491309935E-3</v>
      </c>
      <c r="J15" s="1">
        <f ca="1">SUMPRODUCT($G15:OFFSET($G15,J$5-1,0),$H$7:INDEX($H$7:$H$200,J$5))/$F15</f>
        <v>4.8396620419513614E-3</v>
      </c>
      <c r="K15" s="1">
        <f ca="1">SUMPRODUCT($G15:OFFSET($G15,K$5-1,0),$H$7:INDEX($H$7:$H$200,K$5))/$F15</f>
        <v>6.7411322090075772E-3</v>
      </c>
    </row>
    <row r="16" spans="1:11" ht="15.75">
      <c r="A16" s="1">
        <v>10</v>
      </c>
      <c r="B16" s="7">
        <v>3.1199999999999999E-4</v>
      </c>
      <c r="C16" s="7">
        <v>1.6899999999999999E-4</v>
      </c>
      <c r="D16" s="7">
        <v>2.72E-4</v>
      </c>
      <c r="E16" s="7">
        <v>1.47E-4</v>
      </c>
      <c r="F16" s="1">
        <f t="shared" si="1"/>
        <v>99584.668670502229</v>
      </c>
      <c r="G16" s="6">
        <f t="shared" si="2"/>
        <v>31.070416625196696</v>
      </c>
      <c r="H16" s="1">
        <f t="shared" si="0"/>
        <v>0.67556416882579817</v>
      </c>
      <c r="I16" s="1">
        <f ca="1">SUMPRODUCT($G16:OFFSET($G16,I$5-1,0),$H$7:INDEX($H$7:$H$200,I$5))/$F16</f>
        <v>3.0854097912154542E-3</v>
      </c>
      <c r="J16" s="1">
        <f ca="1">SUMPRODUCT($G16:OFFSET($G16,J$5-1,0),$H$7:INDEX($H$7:$H$200,J$5))/$F16</f>
        <v>5.1298145075040127E-3</v>
      </c>
      <c r="K16" s="1">
        <f ca="1">SUMPRODUCT($G16:OFFSET($G16,K$5-1,0),$H$7:INDEX($H$7:$H$200,K$5))/$F16</f>
        <v>7.0811396906688166E-3</v>
      </c>
    </row>
    <row r="17" spans="1:11" ht="15.75">
      <c r="A17" s="1">
        <v>11</v>
      </c>
      <c r="B17" s="7">
        <v>3.1199999999999999E-4</v>
      </c>
      <c r="C17" s="7">
        <v>1.65E-4</v>
      </c>
      <c r="D17" s="7">
        <v>2.7099999999999997E-4</v>
      </c>
      <c r="E17" s="7">
        <v>1.4300000000000001E-4</v>
      </c>
      <c r="F17" s="1">
        <f t="shared" si="1"/>
        <v>99553.598253877033</v>
      </c>
      <c r="G17" s="6">
        <f t="shared" si="2"/>
        <v>31.060722655209634</v>
      </c>
      <c r="H17" s="1">
        <f t="shared" si="0"/>
        <v>0.64958093156326746</v>
      </c>
      <c r="I17" s="1">
        <f ca="1">SUMPRODUCT($G17:OFFSET($G17,I$5-1,0),$H$7:INDEX($H$7:$H$200,I$5))/$F17</f>
        <v>3.3157523313984295E-3</v>
      </c>
      <c r="J17" s="1">
        <f ca="1">SUMPRODUCT($G17:OFFSET($G17,J$5-1,0),$H$7:INDEX($H$7:$H$200,J$5))/$F17</f>
        <v>5.4430727706851522E-3</v>
      </c>
      <c r="K17" s="1">
        <f ca="1">SUMPRODUCT($G17:OFFSET($G17,K$5-1,0),$H$7:INDEX($H$7:$H$200,K$5))/$F17</f>
        <v>7.4522604133391871E-3</v>
      </c>
    </row>
    <row r="18" spans="1:11" ht="15.75">
      <c r="A18" s="1">
        <v>12</v>
      </c>
      <c r="B18" s="7">
        <v>3.1300000000000002E-4</v>
      </c>
      <c r="C18" s="7">
        <v>1.65E-4</v>
      </c>
      <c r="D18" s="7">
        <v>2.72E-4</v>
      </c>
      <c r="E18" s="7">
        <v>1.4300000000000001E-4</v>
      </c>
      <c r="F18" s="1">
        <f t="shared" si="1"/>
        <v>99522.537531221824</v>
      </c>
      <c r="G18" s="6">
        <f t="shared" si="2"/>
        <v>31.150554247272431</v>
      </c>
      <c r="H18" s="1">
        <f t="shared" si="0"/>
        <v>0.62459704958006479</v>
      </c>
      <c r="I18" s="1">
        <f ca="1">SUMPRODUCT($G18:OFFSET($G18,I$5-1,0),$H$7:INDEX($H$7:$H$200,I$5))/$F18</f>
        <v>3.5821715426254948E-3</v>
      </c>
      <c r="J18" s="1">
        <f ca="1">SUMPRODUCT($G18:OFFSET($G18,J$5-1,0),$H$7:INDEX($H$7:$H$200,J$5))/$F18</f>
        <v>5.7797985999722195E-3</v>
      </c>
      <c r="K18" s="1">
        <f ca="1">SUMPRODUCT($G18:OFFSET($G18,K$5-1,0),$H$7:INDEX($H$7:$H$200,K$5))/$F18</f>
        <v>7.8611278354802552E-3</v>
      </c>
    </row>
    <row r="19" spans="1:11" ht="15.75">
      <c r="A19" s="1">
        <v>13</v>
      </c>
      <c r="B19" s="7">
        <v>3.2000000000000003E-4</v>
      </c>
      <c r="C19" s="7">
        <v>1.6899999999999999E-4</v>
      </c>
      <c r="D19" s="7">
        <v>2.7799999999999998E-4</v>
      </c>
      <c r="E19" s="7">
        <v>1.47E-4</v>
      </c>
      <c r="F19" s="1">
        <f t="shared" si="1"/>
        <v>99491.386976974551</v>
      </c>
      <c r="G19" s="6">
        <f t="shared" si="2"/>
        <v>31.837243832631859</v>
      </c>
      <c r="H19" s="1">
        <f t="shared" si="0"/>
        <v>0.60057408613467766</v>
      </c>
      <c r="I19" s="1">
        <f ca="1">SUMPRODUCT($G19:OFFSET($G19,I$5-1,0),$H$7:INDEX($H$7:$H$200,I$5))/$F19</f>
        <v>3.8790359907570557E-3</v>
      </c>
      <c r="J19" s="1">
        <f ca="1">SUMPRODUCT($G19:OFFSET($G19,J$5-1,0),$H$7:INDEX($H$7:$H$200,J$5))/$F19</f>
        <v>6.1377220520023677E-3</v>
      </c>
      <c r="K19" s="1">
        <f ca="1">SUMPRODUCT($G19:OFFSET($G19,K$5-1,0),$H$7:INDEX($H$7:$H$200,K$5))/$F19</f>
        <v>8.3131827748882531E-3</v>
      </c>
    </row>
    <row r="20" spans="1:11" ht="15.75">
      <c r="A20" s="1">
        <v>14</v>
      </c>
      <c r="B20" s="7">
        <v>3.3599999999999998E-4</v>
      </c>
      <c r="C20" s="7">
        <v>1.7899999999999999E-4</v>
      </c>
      <c r="D20" s="7">
        <v>2.92E-4</v>
      </c>
      <c r="E20" s="7">
        <v>1.56E-4</v>
      </c>
      <c r="F20" s="1">
        <f t="shared" si="1"/>
        <v>99459.549733141917</v>
      </c>
      <c r="G20" s="6">
        <f t="shared" si="2"/>
        <v>33.418408710335683</v>
      </c>
      <c r="H20" s="1">
        <f t="shared" si="0"/>
        <v>0.57747508282180537</v>
      </c>
      <c r="I20" s="1">
        <f ca="1">SUMPRODUCT($G20:OFFSET($G20,I$5-1,0),$H$7:INDEX($H$7:$H$200,I$5))/$F20</f>
        <v>4.1968611000114805E-3</v>
      </c>
      <c r="J20" s="1">
        <f ca="1">SUMPRODUCT($G20:OFFSET($G20,J$5-1,0),$H$7:INDEX($H$7:$H$200,J$5))/$F20</f>
        <v>6.5139234876244205E-3</v>
      </c>
      <c r="K20" s="1">
        <f ca="1">SUMPRODUCT($G20:OFFSET($G20,K$5-1,0),$H$7:INDEX($H$7:$H$200,K$5))/$F20</f>
        <v>8.8037045898097036E-3</v>
      </c>
    </row>
    <row r="21" spans="1:11" ht="15.75">
      <c r="A21" s="1">
        <v>15</v>
      </c>
      <c r="B21" s="7">
        <v>3.6400000000000001E-4</v>
      </c>
      <c r="C21" s="7">
        <v>1.92E-4</v>
      </c>
      <c r="D21" s="7">
        <v>3.1599999999999998E-4</v>
      </c>
      <c r="E21" s="7">
        <v>1.6699999999999999E-4</v>
      </c>
      <c r="F21" s="1">
        <f t="shared" si="1"/>
        <v>99426.131324431582</v>
      </c>
      <c r="G21" s="6">
        <f t="shared" si="2"/>
        <v>36.191111802093097</v>
      </c>
      <c r="H21" s="1">
        <f t="shared" si="0"/>
        <v>0.55526450271327432</v>
      </c>
      <c r="I21" s="1">
        <f ca="1">SUMPRODUCT($G21:OFFSET($G21,I$5-1,0),$H$7:INDEX($H$7:$H$200,I$5))/$F21</f>
        <v>4.52616967142611E-3</v>
      </c>
      <c r="J21" s="1">
        <f ca="1">SUMPRODUCT($G21:OFFSET($G21,J$5-1,0),$H$7:INDEX($H$7:$H$200,J$5))/$F21</f>
        <v>6.904040655117588E-3</v>
      </c>
      <c r="K21" s="1">
        <f ca="1">SUMPRODUCT($G21:OFFSET($G21,K$5-1,0),$H$7:INDEX($H$7:$H$200,K$5))/$F21</f>
        <v>9.3275196479105597E-3</v>
      </c>
    </row>
    <row r="22" spans="1:11" ht="15.75">
      <c r="A22" s="1">
        <v>16</v>
      </c>
      <c r="B22" s="7">
        <v>4.0400000000000001E-4</v>
      </c>
      <c r="C22" s="7">
        <v>2.0799999999999999E-4</v>
      </c>
      <c r="D22" s="7">
        <v>3.5100000000000002E-4</v>
      </c>
      <c r="E22" s="7">
        <v>1.8100000000000001E-4</v>
      </c>
      <c r="F22" s="1">
        <f t="shared" si="1"/>
        <v>99389.940212629488</v>
      </c>
      <c r="G22" s="6">
        <f t="shared" si="2"/>
        <v>40.153535845902312</v>
      </c>
      <c r="H22" s="1">
        <f t="shared" si="0"/>
        <v>0.53390817568584059</v>
      </c>
      <c r="I22" s="1">
        <f ca="1">SUMPRODUCT($G22:OFFSET($G22,I$5-1,0),$H$7:INDEX($H$7:$H$200,I$5))/$F22</f>
        <v>4.8548031972571919E-3</v>
      </c>
      <c r="J22" s="1">
        <f ca="1">SUMPRODUCT($G22:OFFSET($G22,J$5-1,0),$H$7:INDEX($H$7:$H$200,J$5))/$F22</f>
        <v>7.3033123245777338E-3</v>
      </c>
      <c r="K22" s="1">
        <f ca="1">SUMPRODUCT($G22:OFFSET($G22,K$5-1,0),$H$7:INDEX($H$7:$H$200,K$5))/$F22</f>
        <v>9.8771819582121074E-3</v>
      </c>
    </row>
    <row r="23" spans="1:11" ht="15.75">
      <c r="A23" s="1">
        <v>17</v>
      </c>
      <c r="B23" s="7">
        <v>4.55E-4</v>
      </c>
      <c r="C23" s="7">
        <v>2.2599999999999999E-4</v>
      </c>
      <c r="D23" s="7">
        <v>3.9599999999999998E-4</v>
      </c>
      <c r="E23" s="7">
        <v>1.9599999999999999E-4</v>
      </c>
      <c r="F23" s="1">
        <f t="shared" si="1"/>
        <v>99349.78667678358</v>
      </c>
      <c r="G23" s="6">
        <f t="shared" si="2"/>
        <v>45.204152937936527</v>
      </c>
      <c r="H23" s="1">
        <f t="shared" si="0"/>
        <v>0.5133732458517698</v>
      </c>
      <c r="I23" s="1">
        <f ca="1">SUMPRODUCT($G23:OFFSET($G23,I$5-1,0),$H$7:INDEX($H$7:$H$200,I$5))/$F23</f>
        <v>5.17013086951455E-3</v>
      </c>
      <c r="J23" s="1">
        <f ca="1">SUMPRODUCT($G23:OFFSET($G23,J$5-1,0),$H$7:INDEX($H$7:$H$200,J$5))/$F23</f>
        <v>7.7067892470230309E-3</v>
      </c>
      <c r="K23" s="1">
        <f ca="1">SUMPRODUCT($G23:OFFSET($G23,K$5-1,0),$H$7:INDEX($H$7:$H$200,K$5))/$F23</f>
        <v>1.0445406678338513E-2</v>
      </c>
    </row>
    <row r="24" spans="1:11" ht="15.75">
      <c r="A24" s="1">
        <v>18</v>
      </c>
      <c r="B24" s="7">
        <v>5.13E-4</v>
      </c>
      <c r="C24" s="7">
        <v>2.4499999999999999E-4</v>
      </c>
      <c r="D24" s="7">
        <v>4.46E-4</v>
      </c>
      <c r="E24" s="7">
        <v>2.13E-4</v>
      </c>
      <c r="F24" s="1">
        <f t="shared" si="1"/>
        <v>99304.582523845645</v>
      </c>
      <c r="G24" s="6">
        <f t="shared" si="2"/>
        <v>50.943250834732815</v>
      </c>
      <c r="H24" s="1">
        <f t="shared" si="0"/>
        <v>0.49362812101131709</v>
      </c>
      <c r="I24" s="1">
        <f ca="1">SUMPRODUCT($G24:OFFSET($G24,I$5-1,0),$H$7:INDEX($H$7:$H$200,I$5))/$F24</f>
        <v>5.4580089961880724E-3</v>
      </c>
      <c r="J24" s="1">
        <f ca="1">SUMPRODUCT($G24:OFFSET($G24,J$5-1,0),$H$7:INDEX($H$7:$H$200,J$5))/$F24</f>
        <v>8.1097685271125132E-3</v>
      </c>
      <c r="K24" s="1">
        <f ca="1">SUMPRODUCT($G24:OFFSET($G24,K$5-1,0),$H$7:INDEX($H$7:$H$200,K$5))/$F24</f>
        <v>1.1026962405644455E-2</v>
      </c>
    </row>
    <row r="25" spans="1:11" ht="15.75">
      <c r="A25" s="1">
        <v>19</v>
      </c>
      <c r="B25" s="7">
        <v>5.7200000000000003E-4</v>
      </c>
      <c r="C25" s="7">
        <v>2.6400000000000002E-4</v>
      </c>
      <c r="D25" s="7">
        <v>4.9700000000000005E-4</v>
      </c>
      <c r="E25" s="7">
        <v>2.3000000000000001E-4</v>
      </c>
      <c r="F25" s="1">
        <f t="shared" si="1"/>
        <v>99253.639273010907</v>
      </c>
      <c r="G25" s="6">
        <f t="shared" si="2"/>
        <v>56.773081664162241</v>
      </c>
      <c r="H25" s="1">
        <f t="shared" si="0"/>
        <v>0.47464242404934331</v>
      </c>
      <c r="I25" s="1">
        <f ca="1">SUMPRODUCT($G25:OFFSET($G25,I$5-1,0),$H$7:INDEX($H$7:$H$200,I$5))/$F25</f>
        <v>5.7130872336242306E-3</v>
      </c>
      <c r="J25" s="1">
        <f ca="1">SUMPRODUCT($G25:OFFSET($G25,J$5-1,0),$H$7:INDEX($H$7:$H$200,J$5))/$F25</f>
        <v>8.5047355889255032E-3</v>
      </c>
      <c r="K25" s="1">
        <f ca="1">SUMPRODUCT($G25:OFFSET($G25,K$5-1,0),$H$7:INDEX($H$7:$H$200,K$5))/$F25</f>
        <v>1.1621262149981351E-2</v>
      </c>
    </row>
    <row r="26" spans="1:11" ht="15.75">
      <c r="A26" s="1">
        <v>20</v>
      </c>
      <c r="B26" s="7">
        <v>6.2100000000000002E-4</v>
      </c>
      <c r="C26" s="7">
        <v>2.8299999999999999E-4</v>
      </c>
      <c r="D26" s="7">
        <v>5.4000000000000001E-4</v>
      </c>
      <c r="E26" s="7">
        <v>2.4600000000000002E-4</v>
      </c>
      <c r="F26" s="1">
        <f t="shared" si="1"/>
        <v>99196.866191346751</v>
      </c>
      <c r="G26" s="6">
        <f t="shared" si="2"/>
        <v>61.601253904826336</v>
      </c>
      <c r="H26" s="1">
        <f t="shared" si="0"/>
        <v>0.45638694620129161</v>
      </c>
      <c r="I26" s="1">
        <f ca="1">SUMPRODUCT($G26:OFFSET($G26,I$5-1,0),$H$7:INDEX($H$7:$H$200,I$5))/$F26</f>
        <v>5.937779239454136E-3</v>
      </c>
      <c r="J26" s="1">
        <f ca="1">SUMPRODUCT($G26:OFFSET($G26,J$5-1,0),$H$7:INDEX($H$7:$H$200,J$5))/$F26</f>
        <v>8.8931266785437085E-3</v>
      </c>
      <c r="K26" s="1">
        <f ca="1">SUMPRODUCT($G26:OFFSET($G26,K$5-1,0),$H$7:INDEX($H$7:$H$200,K$5))/$F26</f>
        <v>1.2233165547763353E-2</v>
      </c>
    </row>
    <row r="27" spans="1:11" ht="15.75">
      <c r="A27" s="1">
        <v>21</v>
      </c>
      <c r="B27" s="7">
        <v>6.6100000000000002E-4</v>
      </c>
      <c r="C27" s="7">
        <v>2.9999999999999997E-4</v>
      </c>
      <c r="D27" s="7">
        <v>5.7499999999999999E-4</v>
      </c>
      <c r="E27" s="7">
        <v>2.61E-4</v>
      </c>
      <c r="F27" s="1">
        <f t="shared" si="1"/>
        <v>99135.264937441927</v>
      </c>
      <c r="G27" s="6">
        <f t="shared" si="2"/>
        <v>65.52841012364911</v>
      </c>
      <c r="H27" s="1">
        <f t="shared" si="0"/>
        <v>0.43883360211662653</v>
      </c>
      <c r="I27" s="1">
        <f ca="1">SUMPRODUCT($G27:OFFSET($G27,I$5-1,0),$H$7:INDEX($H$7:$H$200,I$5))/$F27</f>
        <v>6.1488806059630686E-3</v>
      </c>
      <c r="J27" s="1">
        <f ca="1">SUMPRODUCT($G27:OFFSET($G27,J$5-1,0),$H$7:INDEX($H$7:$H$200,J$5))/$F27</f>
        <v>9.2884313032073635E-3</v>
      </c>
      <c r="K27" s="1">
        <f ca="1">SUMPRODUCT($G27:OFFSET($G27,K$5-1,0),$H$7:INDEX($H$7:$H$200,K$5))/$F27</f>
        <v>1.2877224991177915E-2</v>
      </c>
    </row>
    <row r="28" spans="1:11" ht="15.75">
      <c r="A28" s="1">
        <v>22</v>
      </c>
      <c r="B28" s="7">
        <v>6.9200000000000002E-4</v>
      </c>
      <c r="C28" s="7">
        <v>3.1500000000000001E-4</v>
      </c>
      <c r="D28" s="7">
        <v>6.0099999999999997E-4</v>
      </c>
      <c r="E28" s="7">
        <v>2.7399999999999999E-4</v>
      </c>
      <c r="F28" s="1">
        <f t="shared" si="1"/>
        <v>99069.73652731828</v>
      </c>
      <c r="G28" s="6">
        <f t="shared" si="2"/>
        <v>68.556257676904252</v>
      </c>
      <c r="H28" s="1">
        <f t="shared" si="0"/>
        <v>0.42195538665060239</v>
      </c>
      <c r="I28" s="1">
        <f ca="1">SUMPRODUCT($G28:OFFSET($G28,I$5-1,0),$H$7:INDEX($H$7:$H$200,I$5))/$F28</f>
        <v>6.3628498678914656E-3</v>
      </c>
      <c r="J28" s="1">
        <f ca="1">SUMPRODUCT($G28:OFFSET($G28,J$5-1,0),$H$7:INDEX($H$7:$H$200,J$5))/$F28</f>
        <v>9.704215455497326E-3</v>
      </c>
      <c r="K28" s="1">
        <f ca="1">SUMPRODUCT($G28:OFFSET($G28,K$5-1,0),$H$7:INDEX($H$7:$H$200,K$5))/$F28</f>
        <v>1.3565308330248953E-2</v>
      </c>
    </row>
    <row r="29" spans="1:11" ht="15.75">
      <c r="A29" s="1">
        <v>23</v>
      </c>
      <c r="B29" s="7">
        <v>7.1599999999999995E-4</v>
      </c>
      <c r="C29" s="7">
        <v>3.28E-4</v>
      </c>
      <c r="D29" s="7">
        <v>6.2299999999999996E-4</v>
      </c>
      <c r="E29" s="7">
        <v>2.8499999999999999E-4</v>
      </c>
      <c r="F29" s="1">
        <f t="shared" si="1"/>
        <v>99001.18026964138</v>
      </c>
      <c r="G29" s="6">
        <f t="shared" si="2"/>
        <v>70.884845073063218</v>
      </c>
      <c r="H29" s="1">
        <f t="shared" si="0"/>
        <v>0.40572633331788688</v>
      </c>
      <c r="I29" s="1">
        <f ca="1">SUMPRODUCT($G29:OFFSET($G29,I$5-1,0),$H$7:INDEX($H$7:$H$200,I$5))/$F29</f>
        <v>6.5961203589648826E-3</v>
      </c>
      <c r="J29" s="1">
        <f ca="1">SUMPRODUCT($G29:OFFSET($G29,J$5-1,0),$H$7:INDEX($H$7:$H$200,J$5))/$F29</f>
        <v>1.015620979051529E-2</v>
      </c>
      <c r="K29" s="1">
        <f ca="1">SUMPRODUCT($G29:OFFSET($G29,K$5-1,0),$H$7:INDEX($H$7:$H$200,K$5))/$F29</f>
        <v>1.4309275950311296E-2</v>
      </c>
    </row>
    <row r="30" spans="1:11" ht="15.75">
      <c r="A30" s="1">
        <v>24</v>
      </c>
      <c r="B30" s="7">
        <v>7.3800000000000005E-4</v>
      </c>
      <c r="C30" s="7">
        <v>3.3799999999999998E-4</v>
      </c>
      <c r="D30" s="7">
        <v>6.4300000000000002E-4</v>
      </c>
      <c r="E30" s="7">
        <v>2.9300000000000002E-4</v>
      </c>
      <c r="F30" s="1">
        <f t="shared" si="1"/>
        <v>98930.295424568321</v>
      </c>
      <c r="G30" s="6">
        <f t="shared" si="2"/>
        <v>73.010558023331427</v>
      </c>
      <c r="H30" s="1">
        <f t="shared" si="0"/>
        <v>0.39012147434412198</v>
      </c>
      <c r="I30" s="1">
        <f ca="1">SUMPRODUCT($G30:OFFSET($G30,I$5-1,0),$H$7:INDEX($H$7:$H$200,I$5))/$F30</f>
        <v>6.855735185167377E-3</v>
      </c>
      <c r="J30" s="1">
        <f ca="1">SUMPRODUCT($G30:OFFSET($G30,J$5-1,0),$H$7:INDEX($H$7:$H$200,J$5))/$F30</f>
        <v>1.0659859167680391E-2</v>
      </c>
      <c r="K30" s="1">
        <f ca="1">SUMPRODUCT($G30:OFFSET($G30,K$5-1,0),$H$7:INDEX($H$7:$H$200,K$5))/$F30</f>
        <v>1.5119007318500518E-2</v>
      </c>
    </row>
    <row r="31" spans="1:11" ht="15.75">
      <c r="A31" s="1">
        <v>25</v>
      </c>
      <c r="B31" s="7">
        <v>7.5900000000000002E-4</v>
      </c>
      <c r="C31" s="7">
        <v>3.4699999999999998E-4</v>
      </c>
      <c r="D31" s="7">
        <v>6.6E-4</v>
      </c>
      <c r="E31" s="7">
        <v>3.01E-4</v>
      </c>
      <c r="F31" s="1">
        <f t="shared" si="1"/>
        <v>98857.284866544986</v>
      </c>
      <c r="G31" s="6">
        <f t="shared" si="2"/>
        <v>75.032679213707652</v>
      </c>
      <c r="H31" s="1">
        <f t="shared" si="0"/>
        <v>0.37511680225396343</v>
      </c>
      <c r="I31" s="1">
        <f ca="1">SUMPRODUCT($G31:OFFSET($G31,I$5-1,0),$H$7:INDEX($H$7:$H$200,I$5))/$F31</f>
        <v>7.1480670795520014E-3</v>
      </c>
      <c r="J31" s="1">
        <f ca="1">SUMPRODUCT($G31:OFFSET($G31,J$5-1,0),$H$7:INDEX($H$7:$H$200,J$5))/$F31</f>
        <v>1.1225694032742995E-2</v>
      </c>
      <c r="K31" s="1">
        <f ca="1">SUMPRODUCT($G31:OFFSET($G31,K$5-1,0),$H$7:INDEX($H$7:$H$200,K$5))/$F31</f>
        <v>1.6002047241892092E-2</v>
      </c>
    </row>
    <row r="32" spans="1:11" ht="15.75">
      <c r="A32" s="1">
        <v>26</v>
      </c>
      <c r="B32" s="7">
        <v>7.7899999999999996E-4</v>
      </c>
      <c r="C32" s="7">
        <v>3.5500000000000001E-4</v>
      </c>
      <c r="D32" s="7">
        <v>6.7599999999999995E-4</v>
      </c>
      <c r="E32" s="7">
        <v>3.0800000000000001E-4</v>
      </c>
      <c r="F32" s="1">
        <f t="shared" si="1"/>
        <v>98782.25218733128</v>
      </c>
      <c r="G32" s="6">
        <f t="shared" si="2"/>
        <v>76.951374453931066</v>
      </c>
      <c r="H32" s="1">
        <f t="shared" si="0"/>
        <v>0.36068923293650329</v>
      </c>
      <c r="I32" s="1">
        <f ca="1">SUMPRODUCT($G32:OFFSET($G32,I$5-1,0),$H$7:INDEX($H$7:$H$200,I$5))/$F32</f>
        <v>7.4800820285956301E-3</v>
      </c>
      <c r="J32" s="1">
        <f ca="1">SUMPRODUCT($G32:OFFSET($G32,J$5-1,0),$H$7:INDEX($H$7:$H$200,J$5))/$F32</f>
        <v>1.1862001951582008E-2</v>
      </c>
      <c r="K32" s="1">
        <f ca="1">SUMPRODUCT($G32:OFFSET($G32,K$5-1,0),$H$7:INDEX($H$7:$H$200,K$5))/$F32</f>
        <v>1.696922686768023E-2</v>
      </c>
    </row>
    <row r="33" spans="1:11" ht="15.75">
      <c r="A33" s="1">
        <v>27</v>
      </c>
      <c r="B33" s="7">
        <v>7.9500000000000003E-4</v>
      </c>
      <c r="C33" s="7">
        <v>3.6200000000000002E-4</v>
      </c>
      <c r="D33" s="7">
        <v>6.9300000000000004E-4</v>
      </c>
      <c r="E33" s="7">
        <v>3.1599999999999998E-4</v>
      </c>
      <c r="F33" s="1">
        <f t="shared" si="1"/>
        <v>98705.300812877351</v>
      </c>
      <c r="G33" s="6">
        <f t="shared" si="2"/>
        <v>78.470714146237498</v>
      </c>
      <c r="H33" s="1">
        <f t="shared" si="0"/>
        <v>0.34681657013125311</v>
      </c>
      <c r="I33" s="1">
        <f ca="1">SUMPRODUCT($G33:OFFSET($G33,I$5-1,0),$H$7:INDEX($H$7:$H$200,I$5))/$F33</f>
        <v>7.8596829309964134E-3</v>
      </c>
      <c r="J33" s="1">
        <f ca="1">SUMPRODUCT($G33:OFFSET($G33,J$5-1,0),$H$7:INDEX($H$7:$H$200,J$5))/$F33</f>
        <v>1.2574637108359545E-2</v>
      </c>
      <c r="K33" s="1">
        <f ca="1">SUMPRODUCT($G33:OFFSET($G33,K$5-1,0),$H$7:INDEX($H$7:$H$200,K$5))/$F33</f>
        <v>1.8035300335939711E-2</v>
      </c>
    </row>
    <row r="34" spans="1:11" ht="15.75">
      <c r="A34" s="1">
        <v>28</v>
      </c>
      <c r="B34" s="7">
        <v>8.1499999999999997E-4</v>
      </c>
      <c r="C34" s="7">
        <v>3.7199999999999999E-4</v>
      </c>
      <c r="D34" s="7">
        <v>7.1199999999999996E-4</v>
      </c>
      <c r="E34" s="7">
        <v>3.2499999999999999E-4</v>
      </c>
      <c r="F34" s="1">
        <f t="shared" si="1"/>
        <v>98626.830098731109</v>
      </c>
      <c r="G34" s="6">
        <f t="shared" si="2"/>
        <v>80.380866530465852</v>
      </c>
      <c r="H34" s="1">
        <f t="shared" si="0"/>
        <v>0.33347747128005106</v>
      </c>
      <c r="I34" s="1">
        <f ca="1">SUMPRODUCT($G34:OFFSET($G34,I$5-1,0),$H$7:INDEX($H$7:$H$200,I$5))/$F34</f>
        <v>8.3000592488109582E-3</v>
      </c>
      <c r="J34" s="1">
        <f ca="1">SUMPRODUCT($G34:OFFSET($G34,J$5-1,0),$H$7:INDEX($H$7:$H$200,J$5))/$F34</f>
        <v>1.3372077916887526E-2</v>
      </c>
      <c r="K34" s="1">
        <f ca="1">SUMPRODUCT($G34:OFFSET($G34,K$5-1,0),$H$7:INDEX($H$7:$H$200,K$5))/$F34</f>
        <v>1.92202297944143E-2</v>
      </c>
    </row>
    <row r="35" spans="1:11" ht="15.75">
      <c r="A35" s="1">
        <v>29</v>
      </c>
      <c r="B35" s="7">
        <v>8.4199999999999998E-4</v>
      </c>
      <c r="C35" s="7">
        <v>3.86E-4</v>
      </c>
      <c r="D35" s="7">
        <v>7.3399999999999995E-4</v>
      </c>
      <c r="E35" s="7">
        <v>3.3700000000000001E-4</v>
      </c>
      <c r="F35" s="1">
        <f t="shared" si="1"/>
        <v>98546.449232200641</v>
      </c>
      <c r="G35" s="6">
        <f t="shared" si="2"/>
        <v>82.976110253512942</v>
      </c>
      <c r="H35" s="1">
        <f t="shared" si="0"/>
        <v>0.32065141469235675</v>
      </c>
      <c r="I35" s="1">
        <f ca="1">SUMPRODUCT($G35:OFFSET($G35,I$5-1,0),$H$7:INDEX($H$7:$H$200,I$5))/$F35</f>
        <v>8.8083020036380244E-3</v>
      </c>
      <c r="J35" s="1">
        <f ca="1">SUMPRODUCT($G35:OFFSET($G35,J$5-1,0),$H$7:INDEX($H$7:$H$200,J$5))/$F35</f>
        <v>1.4254669263895016E-2</v>
      </c>
      <c r="K35" s="1">
        <f ca="1">SUMPRODUCT($G35:OFFSET($G35,K$5-1,0),$H$7:INDEX($H$7:$H$200,K$5))/$F35</f>
        <v>2.0536344853320024E-2</v>
      </c>
    </row>
    <row r="36" spans="1:11" ht="15.75">
      <c r="A36" s="1">
        <v>30</v>
      </c>
      <c r="B36" s="7">
        <v>8.8099999999999995E-4</v>
      </c>
      <c r="C36" s="7">
        <v>4.06E-4</v>
      </c>
      <c r="D36" s="7">
        <v>7.5900000000000002E-4</v>
      </c>
      <c r="E36" s="7">
        <v>3.5100000000000002E-4</v>
      </c>
      <c r="F36" s="1">
        <f t="shared" si="1"/>
        <v>98463.473121947129</v>
      </c>
      <c r="G36" s="6">
        <f t="shared" si="2"/>
        <v>86.746319820435417</v>
      </c>
      <c r="H36" s="1">
        <f t="shared" si="0"/>
        <v>0.30831866797341995</v>
      </c>
      <c r="I36" s="1">
        <f ca="1">SUMPRODUCT($G36:OFFSET($G36,I$5-1,0),$H$7:INDEX($H$7:$H$200,I$5))/$F36</f>
        <v>9.3881188665949303E-3</v>
      </c>
      <c r="J36" s="1">
        <f ca="1">SUMPRODUCT($G36:OFFSET($G36,J$5-1,0),$H$7:INDEX($H$7:$H$200,J$5))/$F36</f>
        <v>1.5222525029868759E-2</v>
      </c>
      <c r="K36" s="1">
        <f ca="1">SUMPRODUCT($G36:OFFSET($G36,K$5-1,0),$H$7:INDEX($H$7:$H$200,K$5))/$F36</f>
        <v>2.1990309723996931E-2</v>
      </c>
    </row>
    <row r="37" spans="1:11" ht="15.75">
      <c r="A37" s="1">
        <v>31</v>
      </c>
      <c r="B37" s="7">
        <v>9.3199999999999999E-4</v>
      </c>
      <c r="C37" s="7">
        <v>4.3199999999999998E-4</v>
      </c>
      <c r="D37" s="7">
        <v>7.8799999999999996E-4</v>
      </c>
      <c r="E37" s="7">
        <v>3.6600000000000001E-4</v>
      </c>
      <c r="F37" s="1">
        <f t="shared" si="1"/>
        <v>98376.726802126694</v>
      </c>
      <c r="G37" s="6">
        <f t="shared" si="2"/>
        <v>91.687109379582083</v>
      </c>
      <c r="H37" s="1">
        <f t="shared" si="0"/>
        <v>0.29646025766674994</v>
      </c>
      <c r="I37" s="1">
        <f ca="1">SUMPRODUCT($G37:OFFSET($G37,I$5-1,0),$H$7:INDEX($H$7:$H$200,I$5))/$F37</f>
        <v>1.0036387211258145E-2</v>
      </c>
      <c r="J37" s="1">
        <f ca="1">SUMPRODUCT($G37:OFFSET($G37,J$5-1,0),$H$7:INDEX($H$7:$H$200,J$5))/$F37</f>
        <v>1.6275721225825907E-2</v>
      </c>
      <c r="K37" s="1">
        <f ca="1">SUMPRODUCT($G37:OFFSET($G37,K$5-1,0),$H$7:INDEX($H$7:$H$200,K$5))/$F37</f>
        <v>2.3581422408708069E-2</v>
      </c>
    </row>
    <row r="38" spans="1:11" ht="15.75">
      <c r="A38" s="1">
        <v>32</v>
      </c>
      <c r="B38" s="7">
        <v>9.9400000000000009E-4</v>
      </c>
      <c r="C38" s="7">
        <v>4.6500000000000003E-4</v>
      </c>
      <c r="D38" s="7">
        <v>8.1999999999999998E-4</v>
      </c>
      <c r="E38" s="7">
        <v>3.8400000000000001E-4</v>
      </c>
      <c r="F38" s="1">
        <f t="shared" si="1"/>
        <v>98285.039692747116</v>
      </c>
      <c r="G38" s="6">
        <f t="shared" si="2"/>
        <v>97.695329454590649</v>
      </c>
      <c r="H38" s="1">
        <f t="shared" si="0"/>
        <v>0.28505794006418261</v>
      </c>
      <c r="I38" s="1">
        <f ca="1">SUMPRODUCT($G38:OFFSET($G38,I$5-1,0),$H$7:INDEX($H$7:$H$200,I$5))/$F38</f>
        <v>1.0746517392916561E-2</v>
      </c>
      <c r="J38" s="1">
        <f ca="1">SUMPRODUCT($G38:OFFSET($G38,J$5-1,0),$H$7:INDEX($H$7:$H$200,J$5))/$F38</f>
        <v>1.7418657368858372E-2</v>
      </c>
      <c r="K38" s="1">
        <f ca="1">SUMPRODUCT($G38:OFFSET($G38,K$5-1,0),$H$7:INDEX($H$7:$H$200,K$5))/$F38</f>
        <v>2.5305382447779298E-2</v>
      </c>
    </row>
    <row r="39" spans="1:11" ht="15.75">
      <c r="A39" s="1">
        <v>33</v>
      </c>
      <c r="B39" s="7">
        <v>1.0549999999999999E-3</v>
      </c>
      <c r="C39" s="7">
        <v>4.9600000000000002E-4</v>
      </c>
      <c r="D39" s="7">
        <v>8.5499999999999997E-4</v>
      </c>
      <c r="E39" s="7">
        <v>4.0200000000000001E-4</v>
      </c>
      <c r="F39" s="1">
        <f t="shared" si="1"/>
        <v>98187.344363292519</v>
      </c>
      <c r="G39" s="6">
        <f t="shared" si="2"/>
        <v>103.5876483032736</v>
      </c>
      <c r="H39" s="1">
        <f t="shared" ref="H39:H70" si="3">v0*H38</f>
        <v>0.2740941731386371</v>
      </c>
      <c r="I39" s="1">
        <f ca="1">SUMPRODUCT($G39:OFFSET($G39,I$5-1,0),$H$7:INDEX($H$7:$H$200,I$5))/$F39</f>
        <v>1.1511988400149985E-2</v>
      </c>
      <c r="J39" s="1">
        <f ca="1">SUMPRODUCT($G39:OFFSET($G39,J$5-1,0),$H$7:INDEX($H$7:$H$200,J$5))/$F39</f>
        <v>1.8659006801544011E-2</v>
      </c>
      <c r="K39" s="1">
        <f ca="1">SUMPRODUCT($G39:OFFSET($G39,K$5-1,0),$H$7:INDEX($H$7:$H$200,K$5))/$F39</f>
        <v>2.7159555537101237E-2</v>
      </c>
    </row>
    <row r="40" spans="1:11" ht="15.75">
      <c r="A40" s="1">
        <v>34</v>
      </c>
      <c r="B40" s="7">
        <v>1.121E-3</v>
      </c>
      <c r="C40" s="7">
        <v>5.2800000000000004E-4</v>
      </c>
      <c r="D40" s="7">
        <v>8.9300000000000002E-4</v>
      </c>
      <c r="E40" s="7">
        <v>4.2099999999999999E-4</v>
      </c>
      <c r="F40" s="1">
        <f t="shared" si="1"/>
        <v>98083.756714989242</v>
      </c>
      <c r="G40" s="6">
        <f t="shared" si="2"/>
        <v>109.95189127750294</v>
      </c>
      <c r="H40" s="1">
        <f t="shared" si="3"/>
        <v>0.26355208955638182</v>
      </c>
      <c r="I40" s="1">
        <f ca="1">SUMPRODUCT($G40:OFFSET($G40,I$5-1,0),$H$7:INDEX($H$7:$H$200,I$5))/$F40</f>
        <v>1.2337230051394334E-2</v>
      </c>
      <c r="J40" s="1">
        <f ca="1">SUMPRODUCT($G40:OFFSET($G40,J$5-1,0),$H$7:INDEX($H$7:$H$200,J$5))/$F40</f>
        <v>2.001590157179425E-2</v>
      </c>
      <c r="K40" s="1">
        <f ca="1">SUMPRODUCT($G40:OFFSET($G40,K$5-1,0),$H$7:INDEX($H$7:$H$200,K$5))/$F40</f>
        <v>2.9156775406503393E-2</v>
      </c>
    </row>
    <row r="41" spans="1:11" ht="15.75">
      <c r="A41" s="1">
        <v>35</v>
      </c>
      <c r="B41" s="7">
        <v>1.194E-3</v>
      </c>
      <c r="C41" s="7">
        <v>5.6300000000000002E-4</v>
      </c>
      <c r="D41" s="7">
        <v>9.3599999999999998E-4</v>
      </c>
      <c r="E41" s="7">
        <v>4.4099999999999999E-4</v>
      </c>
      <c r="F41" s="1">
        <f t="shared" si="1"/>
        <v>97973.804823711733</v>
      </c>
      <c r="G41" s="6">
        <f t="shared" si="2"/>
        <v>116.98072295951181</v>
      </c>
      <c r="H41" s="1">
        <f t="shared" si="3"/>
        <v>0.2534154707272902</v>
      </c>
      <c r="I41" s="1">
        <f ca="1">SUMPRODUCT($G41:OFFSET($G41,I$5-1,0),$H$7:INDEX($H$7:$H$200,I$5))/$F41</f>
        <v>1.3224237540089829E-2</v>
      </c>
      <c r="J41" s="1">
        <f ca="1">SUMPRODUCT($G41:OFFSET($G41,J$5-1,0),$H$7:INDEX($H$7:$H$200,J$5))/$F41</f>
        <v>2.1499435785802015E-2</v>
      </c>
      <c r="K41" s="1">
        <f ca="1">SUMPRODUCT($G41:OFFSET($G41,K$5-1,0),$H$7:INDEX($H$7:$H$200,K$5))/$F41</f>
        <v>3.1315302557138228E-2</v>
      </c>
    </row>
    <row r="42" spans="1:11" ht="15.75">
      <c r="A42" s="1">
        <v>36</v>
      </c>
      <c r="B42" s="7">
        <v>1.2750000000000001E-3</v>
      </c>
      <c r="C42" s="7">
        <v>6.0099999999999997E-4</v>
      </c>
      <c r="D42" s="7">
        <v>9.8499999999999998E-4</v>
      </c>
      <c r="E42" s="7">
        <v>4.64E-4</v>
      </c>
      <c r="F42" s="1">
        <f t="shared" si="1"/>
        <v>97856.824100752216</v>
      </c>
      <c r="G42" s="6">
        <f t="shared" si="2"/>
        <v>124.76745072845908</v>
      </c>
      <c r="H42" s="1">
        <f t="shared" si="3"/>
        <v>0.24366872185316363</v>
      </c>
      <c r="I42" s="1">
        <f ca="1">SUMPRODUCT($G42:OFFSET($G42,I$5-1,0),$H$7:INDEX($H$7:$H$200,I$5))/$F42</f>
        <v>1.4179087266273758E-2</v>
      </c>
      <c r="J42" s="1">
        <f ca="1">SUMPRODUCT($G42:OFFSET($G42,J$5-1,0),$H$7:INDEX($H$7:$H$200,J$5))/$F42</f>
        <v>2.3114813465256269E-2</v>
      </c>
      <c r="K42" s="1">
        <f ca="1">SUMPRODUCT($G42:OFFSET($G42,K$5-1,0),$H$7:INDEX($H$7:$H$200,K$5))/$F42</f>
        <v>3.3668832083157817E-2</v>
      </c>
    </row>
    <row r="43" spans="1:11" ht="15.75">
      <c r="A43" s="1">
        <v>37</v>
      </c>
      <c r="B43" s="7">
        <v>1.3669999999999999E-3</v>
      </c>
      <c r="C43" s="7">
        <v>6.4599999999999998E-4</v>
      </c>
      <c r="D43" s="7">
        <v>1.0430000000000001E-3</v>
      </c>
      <c r="E43" s="7">
        <v>4.9299999999999995E-4</v>
      </c>
      <c r="F43" s="1">
        <f t="shared" si="1"/>
        <v>97732.056650023762</v>
      </c>
      <c r="G43" s="6">
        <f t="shared" si="2"/>
        <v>133.59972144058247</v>
      </c>
      <c r="H43" s="1">
        <f t="shared" si="3"/>
        <v>0.23429684793573424</v>
      </c>
      <c r="I43" s="1">
        <f ca="1">SUMPRODUCT($G43:OFFSET($G43,I$5-1,0),$H$7:INDEX($H$7:$H$200,I$5))/$F43</f>
        <v>1.5212395251658493E-2</v>
      </c>
      <c r="J43" s="1">
        <f ca="1">SUMPRODUCT($G43:OFFSET($G43,J$5-1,0),$H$7:INDEX($H$7:$H$200,J$5))/$F43</f>
        <v>2.4862094501135804E-2</v>
      </c>
      <c r="K43" s="1">
        <f ca="1">SUMPRODUCT($G43:OFFSET($G43,K$5-1,0),$H$7:INDEX($H$7:$H$200,K$5))/$F43</f>
        <v>3.6265992393996513E-2</v>
      </c>
    </row>
    <row r="44" spans="1:11" ht="15.75">
      <c r="A44" s="1">
        <v>38</v>
      </c>
      <c r="B44" s="7">
        <v>1.472E-3</v>
      </c>
      <c r="C44" s="7">
        <v>6.9899999999999997E-4</v>
      </c>
      <c r="D44" s="7">
        <v>1.111E-3</v>
      </c>
      <c r="E44" s="7">
        <v>5.2800000000000004E-4</v>
      </c>
      <c r="F44" s="1">
        <f t="shared" si="1"/>
        <v>97598.456928583182</v>
      </c>
      <c r="G44" s="6">
        <f t="shared" si="2"/>
        <v>143.66492859887444</v>
      </c>
      <c r="H44" s="1">
        <f t="shared" si="3"/>
        <v>0.22528543070743676</v>
      </c>
      <c r="I44" s="1">
        <f ca="1">SUMPRODUCT($G44:OFFSET($G44,I$5-1,0),$H$7:INDEX($H$7:$H$200,I$5))/$F44</f>
        <v>1.6334841982438928E-2</v>
      </c>
      <c r="J44" s="1">
        <f ca="1">SUMPRODUCT($G44:OFFSET($G44,J$5-1,0),$H$7:INDEX($H$7:$H$200,J$5))/$F44</f>
        <v>2.6739461918029908E-2</v>
      </c>
      <c r="K44" s="1">
        <f ca="1">SUMPRODUCT($G44:OFFSET($G44,K$5-1,0),$H$7:INDEX($H$7:$H$200,K$5))/$F44</f>
        <v>3.9164715135882315E-2</v>
      </c>
    </row>
    <row r="45" spans="1:11" ht="15.75">
      <c r="A45" s="1">
        <v>39</v>
      </c>
      <c r="B45" s="7">
        <v>1.5889999999999999E-3</v>
      </c>
      <c r="C45" s="7">
        <v>7.6099999999999996E-4</v>
      </c>
      <c r="D45" s="7">
        <v>1.189E-3</v>
      </c>
      <c r="E45" s="7">
        <v>5.6899999999999995E-4</v>
      </c>
      <c r="F45" s="1">
        <f t="shared" si="1"/>
        <v>97454.791999984314</v>
      </c>
      <c r="G45" s="6">
        <f t="shared" si="2"/>
        <v>154.85566448797508</v>
      </c>
      <c r="H45" s="1">
        <f t="shared" si="3"/>
        <v>0.21662060644945841</v>
      </c>
      <c r="I45" s="1">
        <f ca="1">SUMPRODUCT($G45:OFFSET($G45,I$5-1,0),$H$7:INDEX($H$7:$H$200,I$5))/$F45</f>
        <v>1.7554833664135183E-2</v>
      </c>
      <c r="J45" s="1">
        <f ca="1">SUMPRODUCT($G45:OFFSET($G45,J$5-1,0),$H$7:INDEX($H$7:$H$200,J$5))/$F45</f>
        <v>2.8747880055154416E-2</v>
      </c>
      <c r="K45" s="1">
        <f ca="1">SUMPRODUCT($G45:OFFSET($G45,K$5-1,0),$H$7:INDEX($H$7:$H$200,K$5))/$F45</f>
        <v>4.2425415062711538E-2</v>
      </c>
    </row>
    <row r="46" spans="1:11" ht="15.75">
      <c r="A46" s="1">
        <v>40</v>
      </c>
      <c r="B46" s="7">
        <v>1.7149999999999999E-3</v>
      </c>
      <c r="C46" s="7">
        <v>8.2799999999999996E-4</v>
      </c>
      <c r="D46" s="7">
        <v>1.2750000000000001E-3</v>
      </c>
      <c r="E46" s="7">
        <v>6.1499999999999999E-4</v>
      </c>
      <c r="F46" s="1">
        <f t="shared" si="1"/>
        <v>97299.936335496343</v>
      </c>
      <c r="G46" s="6">
        <f t="shared" si="2"/>
        <v>166.86939081537622</v>
      </c>
      <c r="H46" s="1">
        <f t="shared" si="3"/>
        <v>0.20828904466294076</v>
      </c>
      <c r="I46" s="1">
        <f ca="1">SUMPRODUCT($G46:OFFSET($G46,I$5-1,0),$H$7:INDEX($H$7:$H$200,I$5))/$F46</f>
        <v>1.8877393994168365E-2</v>
      </c>
      <c r="J46" s="1">
        <f ca="1">SUMPRODUCT($G46:OFFSET($G46,J$5-1,0),$H$7:INDEX($H$7:$H$200,J$5))/$F46</f>
        <v>3.0902606776399312E-2</v>
      </c>
      <c r="K46" s="1">
        <f ca="1">SUMPRODUCT($G46:OFFSET($G46,K$5-1,0),$H$7:INDEX($H$7:$H$200,K$5))/$F46</f>
        <v>4.610420966754978E-2</v>
      </c>
    </row>
    <row r="47" spans="1:11" ht="15.75">
      <c r="A47" s="1">
        <v>41</v>
      </c>
      <c r="B47" s="7">
        <v>1.8450000000000001E-3</v>
      </c>
      <c r="C47" s="7">
        <v>8.9700000000000001E-4</v>
      </c>
      <c r="D47" s="7">
        <v>1.366E-3</v>
      </c>
      <c r="E47" s="7">
        <v>6.6399999999999999E-4</v>
      </c>
      <c r="F47" s="1">
        <f t="shared" si="1"/>
        <v>97133.066944680962</v>
      </c>
      <c r="G47" s="6">
        <f t="shared" si="2"/>
        <v>179.21050851293637</v>
      </c>
      <c r="H47" s="1">
        <f t="shared" si="3"/>
        <v>0.20027792756051996</v>
      </c>
      <c r="I47" s="1">
        <f ca="1">SUMPRODUCT($G47:OFFSET($G47,I$5-1,0),$H$7:INDEX($H$7:$H$200,I$5))/$F47</f>
        <v>2.0306674048656104E-2</v>
      </c>
      <c r="J47" s="1">
        <f ca="1">SUMPRODUCT($G47:OFFSET($G47,J$5-1,0),$H$7:INDEX($H$7:$H$200,J$5))/$F47</f>
        <v>3.3242929042852185E-2</v>
      </c>
      <c r="K47" s="1">
        <f ca="1">SUMPRODUCT($G47:OFFSET($G47,K$5-1,0),$H$7:INDEX($H$7:$H$200,K$5))/$F47</f>
        <v>5.0251478662318369E-2</v>
      </c>
    </row>
    <row r="48" spans="1:11" ht="15.75">
      <c r="A48" s="1">
        <v>42</v>
      </c>
      <c r="B48" s="7">
        <v>1.9780000000000002E-3</v>
      </c>
      <c r="C48" s="7">
        <v>9.6599999999999995E-4</v>
      </c>
      <c r="D48" s="7">
        <v>1.4610000000000001E-3</v>
      </c>
      <c r="E48" s="7">
        <v>7.1400000000000001E-4</v>
      </c>
      <c r="F48" s="1">
        <f t="shared" si="1"/>
        <v>96953.856436168033</v>
      </c>
      <c r="G48" s="6">
        <f t="shared" si="2"/>
        <v>191.77472803074039</v>
      </c>
      <c r="H48" s="1">
        <f t="shared" si="3"/>
        <v>0.19257493034665379</v>
      </c>
      <c r="I48" s="1">
        <f ca="1">SUMPRODUCT($G48:OFFSET($G48,I$5-1,0),$H$7:INDEX($H$7:$H$200,I$5))/$F48</f>
        <v>2.1846569097919041E-2</v>
      </c>
      <c r="J48" s="1">
        <f ca="1">SUMPRODUCT($G48:OFFSET($G48,J$5-1,0),$H$7:INDEX($H$7:$H$200,J$5))/$F48</f>
        <v>3.5832518940404769E-2</v>
      </c>
      <c r="K48" s="1">
        <f ca="1">SUMPRODUCT($G48:OFFSET($G48,K$5-1,0),$H$7:INDEX($H$7:$H$200,K$5))/$F48</f>
        <v>5.4912989121700354E-2</v>
      </c>
    </row>
    <row r="49" spans="1:11" ht="15.75">
      <c r="A49" s="1">
        <v>43</v>
      </c>
      <c r="B49" s="7">
        <v>2.1129999999999999E-3</v>
      </c>
      <c r="C49" s="7">
        <v>1.0330000000000001E-3</v>
      </c>
      <c r="D49" s="7">
        <v>1.56E-3</v>
      </c>
      <c r="E49" s="7">
        <v>7.6300000000000001E-4</v>
      </c>
      <c r="F49" s="1">
        <f t="shared" si="1"/>
        <v>96762.081708137295</v>
      </c>
      <c r="G49" s="6">
        <f t="shared" si="2"/>
        <v>204.4582786492941</v>
      </c>
      <c r="H49" s="1">
        <f t="shared" si="3"/>
        <v>0.18516820225639785</v>
      </c>
      <c r="I49" s="1">
        <f ca="1">SUMPRODUCT($G49:OFFSET($G49,I$5-1,0),$H$7:INDEX($H$7:$H$200,I$5))/$F49</f>
        <v>2.3503391107692086E-2</v>
      </c>
      <c r="J49" s="1">
        <f ca="1">SUMPRODUCT($G49:OFFSET($G49,J$5-1,0),$H$7:INDEX($H$7:$H$200,J$5))/$F49</f>
        <v>3.8751279093584945E-2</v>
      </c>
      <c r="K49" s="1">
        <f ca="1">SUMPRODUCT($G49:OFFSET($G49,K$5-1,0),$H$7:INDEX($H$7:$H$200,K$5))/$F49</f>
        <v>6.0129616566424474E-2</v>
      </c>
    </row>
    <row r="50" spans="1:11" ht="15.75">
      <c r="A50" s="1">
        <v>44</v>
      </c>
      <c r="B50" s="7">
        <v>2.2550000000000001E-3</v>
      </c>
      <c r="C50" s="7">
        <v>1.103E-3</v>
      </c>
      <c r="D50" s="7">
        <v>1.665E-3</v>
      </c>
      <c r="E50" s="7">
        <v>8.1499999999999997E-4</v>
      </c>
      <c r="F50" s="1">
        <f t="shared" si="1"/>
        <v>96557.623429487998</v>
      </c>
      <c r="G50" s="6">
        <f t="shared" si="2"/>
        <v>217.73744083349544</v>
      </c>
      <c r="H50" s="1">
        <f t="shared" si="3"/>
        <v>0.17804634832345945</v>
      </c>
      <c r="I50" s="1">
        <f ca="1">SUMPRODUCT($G50:OFFSET($G50,I$5-1,0),$H$7:INDEX($H$7:$H$200,I$5))/$F50</f>
        <v>2.5290543865042363E-2</v>
      </c>
      <c r="J50" s="1">
        <f ca="1">SUMPRODUCT($G50:OFFSET($G50,J$5-1,0),$H$7:INDEX($H$7:$H$200,J$5))/$F50</f>
        <v>4.2085975228633443E-2</v>
      </c>
      <c r="K50" s="1">
        <f ca="1">SUMPRODUCT($G50:OFFSET($G50,K$5-1,0),$H$7:INDEX($H$7:$H$200,K$5))/$F50</f>
        <v>6.5945328588480553E-2</v>
      </c>
    </row>
    <row r="51" spans="1:11" ht="15.75">
      <c r="A51" s="1">
        <v>45</v>
      </c>
      <c r="B51" s="7">
        <v>2.4130000000000002E-3</v>
      </c>
      <c r="C51" s="7">
        <v>1.181E-3</v>
      </c>
      <c r="D51" s="7">
        <v>1.7830000000000001E-3</v>
      </c>
      <c r="E51" s="7">
        <v>8.7299999999999997E-4</v>
      </c>
      <c r="F51" s="1">
        <f t="shared" si="1"/>
        <v>96339.885988654496</v>
      </c>
      <c r="G51" s="6">
        <f t="shared" si="2"/>
        <v>232.46814489062331</v>
      </c>
      <c r="H51" s="1">
        <f t="shared" si="3"/>
        <v>0.17119841184948023</v>
      </c>
      <c r="I51" s="1">
        <f ca="1">SUMPRODUCT($G51:OFFSET($G51,I$5-1,0),$H$7:INDEX($H$7:$H$200,I$5))/$F51</f>
        <v>2.7233369191629029E-2</v>
      </c>
      <c r="J51" s="1">
        <f ca="1">SUMPRODUCT($G51:OFFSET($G51,J$5-1,0),$H$7:INDEX($H$7:$H$200,J$5))/$F51</f>
        <v>4.5912751374465446E-2</v>
      </c>
      <c r="K51" s="1">
        <f ca="1">SUMPRODUCT($G51:OFFSET($G51,K$5-1,0),$H$7:INDEX($H$7:$H$200,K$5))/$F51</f>
        <v>7.2406585798294107E-2</v>
      </c>
    </row>
    <row r="52" spans="1:11" ht="15.75">
      <c r="A52" s="1">
        <v>46</v>
      </c>
      <c r="B52" s="7">
        <v>2.5950000000000001E-3</v>
      </c>
      <c r="C52" s="7">
        <v>1.274E-3</v>
      </c>
      <c r="D52" s="7">
        <v>1.918E-3</v>
      </c>
      <c r="E52" s="7">
        <v>9.4200000000000002E-4</v>
      </c>
      <c r="F52" s="1">
        <f t="shared" si="1"/>
        <v>96107.417843763877</v>
      </c>
      <c r="G52" s="6">
        <f t="shared" si="2"/>
        <v>249.39874930456727</v>
      </c>
      <c r="H52" s="1">
        <f t="shared" si="3"/>
        <v>0.16461385754757712</v>
      </c>
      <c r="I52" s="1">
        <f ca="1">SUMPRODUCT($G52:OFFSET($G52,I$5-1,0),$H$7:INDEX($H$7:$H$200,I$5))/$F52</f>
        <v>2.937472121826866E-2</v>
      </c>
      <c r="J52" s="1">
        <f ca="1">SUMPRODUCT($G52:OFFSET($G52,J$5-1,0),$H$7:INDEX($H$7:$H$200,J$5))/$F52</f>
        <v>5.0289061529527432E-2</v>
      </c>
      <c r="K52" s="1">
        <f ca="1">SUMPRODUCT($G52:OFFSET($G52,K$5-1,0),$H$7:INDEX($H$7:$H$200,K$5))/$F52</f>
        <v>7.956375404942985E-2</v>
      </c>
    </row>
    <row r="53" spans="1:11" ht="15.75">
      <c r="A53" s="1">
        <v>47</v>
      </c>
      <c r="B53" s="7">
        <v>2.8050000000000002E-3</v>
      </c>
      <c r="C53" s="7">
        <v>1.389E-3</v>
      </c>
      <c r="D53" s="7">
        <v>2.055E-3</v>
      </c>
      <c r="E53" s="7">
        <v>1.0139999999999999E-3</v>
      </c>
      <c r="F53" s="1">
        <f t="shared" si="1"/>
        <v>95858.019094459305</v>
      </c>
      <c r="G53" s="6">
        <f t="shared" si="2"/>
        <v>268.88174355995835</v>
      </c>
      <c r="H53" s="1">
        <f t="shared" si="3"/>
        <v>0.15828255533420876</v>
      </c>
      <c r="I53" s="1">
        <f ca="1">SUMPRODUCT($G53:OFFSET($G53,I$5-1,0),$H$7:INDEX($H$7:$H$200,I$5))/$F53</f>
        <v>3.1773736491983569E-2</v>
      </c>
      <c r="J53" s="1">
        <f ca="1">SUMPRODUCT($G53:OFFSET($G53,J$5-1,0),$H$7:INDEX($H$7:$H$200,J$5))/$F53</f>
        <v>5.5253429109673173E-2</v>
      </c>
      <c r="K53" s="1">
        <f ca="1">SUMPRODUCT($G53:OFFSET($G53,K$5-1,0),$H$7:INDEX($H$7:$H$200,K$5))/$F53</f>
        <v>8.7472782182966002E-2</v>
      </c>
    </row>
    <row r="54" spans="1:11" ht="15.75">
      <c r="A54" s="1">
        <v>48</v>
      </c>
      <c r="B54" s="7">
        <v>3.042E-3</v>
      </c>
      <c r="C54" s="7">
        <v>1.5269999999999999E-3</v>
      </c>
      <c r="D54" s="7">
        <v>2.238E-3</v>
      </c>
      <c r="E54" s="7">
        <v>1.1230000000000001E-3</v>
      </c>
      <c r="F54" s="1">
        <f t="shared" si="1"/>
        <v>95589.137350899342</v>
      </c>
      <c r="G54" s="6">
        <f t="shared" si="2"/>
        <v>290.78215582143582</v>
      </c>
      <c r="H54" s="1">
        <f t="shared" si="3"/>
        <v>0.1521947647444315</v>
      </c>
      <c r="I54" s="1">
        <f ca="1">SUMPRODUCT($G54:OFFSET($G54,I$5-1,0),$H$7:INDEX($H$7:$H$200,I$5))/$F54</f>
        <v>3.4504147406581032E-2</v>
      </c>
      <c r="J54" s="1">
        <f ca="1">SUMPRODUCT($G54:OFFSET($G54,J$5-1,0),$H$7:INDEX($H$7:$H$200,J$5))/$F54</f>
        <v>6.0833324503144305E-2</v>
      </c>
      <c r="K54" s="1">
        <f ca="1">SUMPRODUCT($G54:OFFSET($G54,K$5-1,0),$H$7:INDEX($H$7:$H$200,K$5))/$F54</f>
        <v>9.6194989089056049E-2</v>
      </c>
    </row>
    <row r="55" spans="1:11" ht="15.75">
      <c r="A55" s="1">
        <v>49</v>
      </c>
      <c r="B55" s="7">
        <v>3.2989999999999998E-3</v>
      </c>
      <c r="C55" s="7">
        <v>1.6900000000000001E-3</v>
      </c>
      <c r="D55" s="7">
        <v>2.4459999999999998E-3</v>
      </c>
      <c r="E55" s="7">
        <v>1.2509999999999999E-3</v>
      </c>
      <c r="F55" s="1">
        <f t="shared" si="1"/>
        <v>95298.355195077907</v>
      </c>
      <c r="G55" s="6">
        <f t="shared" si="2"/>
        <v>314.38927378856198</v>
      </c>
      <c r="H55" s="1">
        <f t="shared" si="3"/>
        <v>0.14634111994656873</v>
      </c>
      <c r="I55" s="1">
        <f ca="1">SUMPRODUCT($G55:OFFSET($G55,I$5-1,0),$H$7:INDEX($H$7:$H$200,I$5))/$F55</f>
        <v>3.7647585196533995E-2</v>
      </c>
      <c r="J55" s="1">
        <f ca="1">SUMPRODUCT($G55:OFFSET($G55,J$5-1,0),$H$7:INDEX($H$7:$H$200,J$5))/$F55</f>
        <v>6.7059718702059318E-2</v>
      </c>
      <c r="K55" s="1">
        <f ca="1">SUMPRODUCT($G55:OFFSET($G55,K$5-1,0),$H$7:INDEX($H$7:$H$200,K$5))/$F55</f>
        <v>0.10579834133096282</v>
      </c>
    </row>
    <row r="56" spans="1:11" ht="15.75">
      <c r="A56" s="1">
        <v>50</v>
      </c>
      <c r="B56" s="7">
        <v>3.5699999999999998E-3</v>
      </c>
      <c r="C56" s="7">
        <v>1.8730000000000001E-3</v>
      </c>
      <c r="D56" s="7">
        <v>2.666E-3</v>
      </c>
      <c r="E56" s="7">
        <v>1.3929999999999999E-3</v>
      </c>
      <c r="F56" s="1">
        <f t="shared" si="1"/>
        <v>94983.965921289346</v>
      </c>
      <c r="G56" s="6">
        <f t="shared" si="2"/>
        <v>339.09275833900296</v>
      </c>
      <c r="H56" s="1">
        <f t="shared" si="3"/>
        <v>0.14071261533323914</v>
      </c>
      <c r="I56" s="1">
        <f ca="1">SUMPRODUCT($G56:OFFSET($G56,I$5-1,0),$H$7:INDEX($H$7:$H$200,I$5))/$F56</f>
        <v>4.1285020186712193E-2</v>
      </c>
      <c r="J56" s="1">
        <f ca="1">SUMPRODUCT($G56:OFFSET($G56,J$5-1,0),$H$7:INDEX($H$7:$H$200,J$5))/$F56</f>
        <v>7.3978966365968582E-2</v>
      </c>
      <c r="K56" s="1">
        <f ca="1">SUMPRODUCT($G56:OFFSET($G56,K$5-1,0),$H$7:INDEX($H$7:$H$200,K$5))/$F56</f>
        <v>0.11635709864608056</v>
      </c>
    </row>
    <row r="57" spans="1:11" ht="15.75">
      <c r="A57" s="1">
        <v>51</v>
      </c>
      <c r="B57" s="7">
        <v>3.8470000000000002E-3</v>
      </c>
      <c r="C57" s="7">
        <v>2.0739999999999999E-3</v>
      </c>
      <c r="D57" s="7">
        <v>2.8800000000000002E-3</v>
      </c>
      <c r="E57" s="7">
        <v>1.5479999999999999E-3</v>
      </c>
      <c r="F57" s="1">
        <f t="shared" si="1"/>
        <v>94644.873162950345</v>
      </c>
      <c r="G57" s="6">
        <f t="shared" si="2"/>
        <v>364.09882705786998</v>
      </c>
      <c r="H57" s="1">
        <f t="shared" si="3"/>
        <v>0.1353005916665761</v>
      </c>
      <c r="I57" s="1">
        <f ca="1">SUMPRODUCT($G57:OFFSET($G57,I$5-1,0),$H$7:INDEX($H$7:$H$200,I$5))/$F57</f>
        <v>4.5490937261395067E-2</v>
      </c>
      <c r="J57" s="1">
        <f ca="1">SUMPRODUCT($G57:OFFSET($G57,J$5-1,0),$H$7:INDEX($H$7:$H$200,J$5))/$F57</f>
        <v>8.1658467583734809E-2</v>
      </c>
      <c r="K57" s="1">
        <f ca="1">SUMPRODUCT($G57:OFFSET($G57,K$5-1,0),$H$7:INDEX($H$7:$H$200,K$5))/$F57</f>
        <v>0.12795075503248485</v>
      </c>
    </row>
    <row r="58" spans="1:11" ht="15.75">
      <c r="A58" s="1">
        <v>52</v>
      </c>
      <c r="B58" s="7">
        <v>4.1320000000000003E-3</v>
      </c>
      <c r="C58" s="7">
        <v>2.2950000000000002E-3</v>
      </c>
      <c r="D58" s="7">
        <v>3.0850000000000001E-3</v>
      </c>
      <c r="E58" s="7">
        <v>1.714E-3</v>
      </c>
      <c r="F58" s="1">
        <f t="shared" si="1"/>
        <v>94280.774335892478</v>
      </c>
      <c r="G58" s="6">
        <f t="shared" si="2"/>
        <v>389.56815955590776</v>
      </c>
      <c r="H58" s="1">
        <f t="shared" si="3"/>
        <v>0.13009672275632317</v>
      </c>
      <c r="I58" s="1">
        <f ca="1">SUMPRODUCT($G58:OFFSET($G58,I$5-1,0),$H$7:INDEX($H$7:$H$200,I$5))/$F58</f>
        <v>5.0334124444287344E-2</v>
      </c>
      <c r="J58" s="1">
        <f ca="1">SUMPRODUCT($G58:OFFSET($G58,J$5-1,0),$H$7:INDEX($H$7:$H$200,J$5))/$F58</f>
        <v>9.0189675833153446E-2</v>
      </c>
      <c r="K58" s="1">
        <f ca="1">SUMPRODUCT($G58:OFFSET($G58,K$5-1,0),$H$7:INDEX($H$7:$H$200,K$5))/$F58</f>
        <v>0.1406651650734651</v>
      </c>
    </row>
    <row r="59" spans="1:11" ht="15.75">
      <c r="A59" s="1">
        <v>53</v>
      </c>
      <c r="B59" s="7">
        <v>4.4339999999999996E-3</v>
      </c>
      <c r="C59" s="7">
        <v>2.5460000000000001E-3</v>
      </c>
      <c r="D59" s="7">
        <v>3.3E-3</v>
      </c>
      <c r="E59" s="7">
        <v>1.8929999999999999E-3</v>
      </c>
      <c r="F59" s="1">
        <f t="shared" si="1"/>
        <v>93891.206176336564</v>
      </c>
      <c r="G59" s="6">
        <f t="shared" si="2"/>
        <v>416.31360818587626</v>
      </c>
      <c r="H59" s="1">
        <f t="shared" si="3"/>
        <v>0.12509300265031073</v>
      </c>
      <c r="I59" s="1">
        <f ca="1">SUMPRODUCT($G59:OFFSET($G59,I$5-1,0),$H$7:INDEX($H$7:$H$200,I$5))/$F59</f>
        <v>5.5873495516934643E-2</v>
      </c>
      <c r="J59" s="1">
        <f ca="1">SUMPRODUCT($G59:OFFSET($G59,J$5-1,0),$H$7:INDEX($H$7:$H$200,J$5))/$F59</f>
        <v>9.9674394175975303E-2</v>
      </c>
      <c r="K59" s="1">
        <f ca="1">SUMPRODUCT($G59:OFFSET($G59,K$5-1,0),$H$7:INDEX($H$7:$H$200,K$5))/$F59</f>
        <v>0.15458045125947367</v>
      </c>
    </row>
    <row r="60" spans="1:11" ht="15.75">
      <c r="A60" s="1">
        <v>54</v>
      </c>
      <c r="B60" s="7">
        <v>4.7780000000000001E-3</v>
      </c>
      <c r="C60" s="7">
        <v>2.836E-3</v>
      </c>
      <c r="D60" s="7">
        <v>3.545E-3</v>
      </c>
      <c r="E60" s="7">
        <v>2.0929999999999998E-3</v>
      </c>
      <c r="F60" s="1">
        <f t="shared" si="1"/>
        <v>93474.892568150681</v>
      </c>
      <c r="G60" s="6">
        <f t="shared" si="2"/>
        <v>446.62303669062396</v>
      </c>
      <c r="H60" s="1">
        <f t="shared" si="3"/>
        <v>0.12028173331760646</v>
      </c>
      <c r="I60" s="1">
        <f ca="1">SUMPRODUCT($G60:OFFSET($G60,I$5-1,0),$H$7:INDEX($H$7:$H$200,I$5))/$F60</f>
        <v>6.2163670810440129E-2</v>
      </c>
      <c r="J60" s="1">
        <f ca="1">SUMPRODUCT($G60:OFFSET($G60,J$5-1,0),$H$7:INDEX($H$7:$H$200,J$5))/$F60</f>
        <v>0.110214545962074</v>
      </c>
      <c r="K60" s="1">
        <f ca="1">SUMPRODUCT($G60:OFFSET($G60,K$5-1,0),$H$7:INDEX($H$7:$H$200,K$5))/$F60</f>
        <v>0.16976610591269528</v>
      </c>
    </row>
    <row r="61" spans="1:11" ht="15.75">
      <c r="A61" s="1">
        <v>55</v>
      </c>
      <c r="B61" s="7">
        <v>5.2030000000000002E-3</v>
      </c>
      <c r="C61" s="7">
        <v>3.1779999999999998E-3</v>
      </c>
      <c r="D61" s="7">
        <v>3.8379999999999998E-3</v>
      </c>
      <c r="E61" s="7">
        <v>2.3180000000000002E-3</v>
      </c>
      <c r="F61" s="1">
        <f t="shared" si="1"/>
        <v>93028.269531460057</v>
      </c>
      <c r="G61" s="6">
        <f t="shared" si="2"/>
        <v>484.02608637218668</v>
      </c>
      <c r="H61" s="1">
        <f t="shared" si="3"/>
        <v>0.11565551280539081</v>
      </c>
      <c r="I61" s="1">
        <f ca="1">SUMPRODUCT($G61:OFFSET($G61,I$5-1,0),$H$7:INDEX($H$7:$H$200,I$5))/$F61</f>
        <v>6.9247738475970794E-2</v>
      </c>
      <c r="J61" s="1">
        <f ca="1">SUMPRODUCT($G61:OFFSET($G61,J$5-1,0),$H$7:INDEX($H$7:$H$200,J$5))/$F61</f>
        <v>0.12189113054858822</v>
      </c>
      <c r="K61" s="1">
        <f ca="1">SUMPRODUCT($G61:OFFSET($G61,K$5-1,0),$H$7:INDEX($H$7:$H$200,K$5))/$F61</f>
        <v>0.18626483901031329</v>
      </c>
    </row>
    <row r="62" spans="1:11" ht="15.75">
      <c r="A62" s="1">
        <v>56</v>
      </c>
      <c r="B62" s="7">
        <v>5.744E-3</v>
      </c>
      <c r="C62" s="7">
        <v>3.5769999999999999E-3</v>
      </c>
      <c r="D62" s="7">
        <v>4.2069999999999998E-3</v>
      </c>
      <c r="E62" s="7">
        <v>2.6069999999999999E-3</v>
      </c>
      <c r="F62" s="1">
        <f t="shared" si="1"/>
        <v>92544.243445087865</v>
      </c>
      <c r="G62" s="6">
        <f t="shared" si="2"/>
        <v>531.57413434858472</v>
      </c>
      <c r="H62" s="1">
        <f t="shared" si="3"/>
        <v>0.11120722385133731</v>
      </c>
      <c r="I62" s="1">
        <f ca="1">SUMPRODUCT($G62:OFFSET($G62,I$5-1,0),$H$7:INDEX($H$7:$H$200,I$5))/$F62</f>
        <v>7.7152449564699868E-2</v>
      </c>
      <c r="J62" s="1">
        <f ca="1">SUMPRODUCT($G62:OFFSET($G62,J$5-1,0),$H$7:INDEX($H$7:$H$200,J$5))/$F62</f>
        <v>0.13475252097392143</v>
      </c>
      <c r="K62" s="1">
        <f ca="1">SUMPRODUCT($G62:OFFSET($G62,K$5-1,0),$H$7:INDEX($H$7:$H$200,K$5))/$F62</f>
        <v>0.20408320746804123</v>
      </c>
    </row>
    <row r="63" spans="1:11" ht="15.75">
      <c r="A63" s="1">
        <v>57</v>
      </c>
      <c r="B63" s="7">
        <v>6.4270000000000004E-3</v>
      </c>
      <c r="C63" s="7">
        <v>4.0359999999999997E-3</v>
      </c>
      <c r="D63" s="7">
        <v>4.6759999999999996E-3</v>
      </c>
      <c r="E63" s="7">
        <v>2.9789999999999999E-3</v>
      </c>
      <c r="F63" s="1">
        <f t="shared" si="1"/>
        <v>92012.669310739278</v>
      </c>
      <c r="G63" s="6">
        <f t="shared" si="2"/>
        <v>591.36542566012133</v>
      </c>
      <c r="H63" s="1">
        <f t="shared" si="3"/>
        <v>0.10693002293397817</v>
      </c>
      <c r="I63" s="1">
        <f ca="1">SUMPRODUCT($G63:OFFSET($G63,I$5-1,0),$H$7:INDEX($H$7:$H$200,I$5))/$F63</f>
        <v>8.5893829835182525E-2</v>
      </c>
      <c r="J63" s="1">
        <f ca="1">SUMPRODUCT($G63:OFFSET($G63,J$5-1,0),$H$7:INDEX($H$7:$H$200,J$5))/$F63</f>
        <v>0.14881876032451741</v>
      </c>
      <c r="K63" s="1">
        <f ca="1">SUMPRODUCT($G63:OFFSET($G63,K$5-1,0),$H$7:INDEX($H$7:$H$200,K$5))/$F63</f>
        <v>0.22319353833327527</v>
      </c>
    </row>
    <row r="64" spans="1:11" ht="15.75">
      <c r="A64" s="1">
        <v>58</v>
      </c>
      <c r="B64" s="7">
        <v>7.26E-3</v>
      </c>
      <c r="C64" s="7">
        <v>4.5560000000000002E-3</v>
      </c>
      <c r="D64" s="7">
        <v>5.2750000000000002E-3</v>
      </c>
      <c r="E64" s="7">
        <v>3.4099999999999998E-3</v>
      </c>
      <c r="F64" s="1">
        <f t="shared" si="1"/>
        <v>91421.303885079164</v>
      </c>
      <c r="G64" s="6">
        <f t="shared" si="2"/>
        <v>663.71866620567471</v>
      </c>
      <c r="H64" s="1">
        <f t="shared" si="3"/>
        <v>0.10281732974420978</v>
      </c>
      <c r="I64" s="1">
        <f ca="1">SUMPRODUCT($G64:OFFSET($G64,I$5-1,0),$H$7:INDEX($H$7:$H$200,I$5))/$F64</f>
        <v>9.5480617673185109E-2</v>
      </c>
      <c r="J64" s="1">
        <f ca="1">SUMPRODUCT($G64:OFFSET($G64,J$5-1,0),$H$7:INDEX($H$7:$H$200,J$5))/$F64</f>
        <v>0.16408699079645489</v>
      </c>
      <c r="K64" s="1">
        <f ca="1">SUMPRODUCT($G64:OFFSET($G64,K$5-1,0),$H$7:INDEX($H$7:$H$200,K$5))/$F64</f>
        <v>0.24354212310439299</v>
      </c>
    </row>
    <row r="65" spans="1:11" ht="15.75">
      <c r="A65" s="1">
        <v>59</v>
      </c>
      <c r="B65" s="7">
        <v>8.2290000000000002E-3</v>
      </c>
      <c r="C65" s="7">
        <v>5.1330000000000004E-3</v>
      </c>
      <c r="D65" s="7">
        <v>6.0390000000000001E-3</v>
      </c>
      <c r="E65" s="7">
        <v>3.8159999999999999E-3</v>
      </c>
      <c r="F65" s="1">
        <f t="shared" si="1"/>
        <v>90757.585218873486</v>
      </c>
      <c r="G65" s="6">
        <f t="shared" si="2"/>
        <v>746.84416876610999</v>
      </c>
      <c r="H65" s="1">
        <f t="shared" si="3"/>
        <v>9.886281706174016E-2</v>
      </c>
      <c r="I65" s="1">
        <f ca="1">SUMPRODUCT($G65:OFFSET($G65,I$5-1,0),$H$7:INDEX($H$7:$H$200,I$5))/$F65</f>
        <v>0.10592696876126483</v>
      </c>
      <c r="J65" s="1">
        <f ca="1">SUMPRODUCT($G65:OFFSET($G65,J$5-1,0),$H$7:INDEX($H$7:$H$200,J$5))/$F65</f>
        <v>0.18054982730646976</v>
      </c>
      <c r="K65" s="1">
        <f ca="1">SUMPRODUCT($G65:OFFSET($G65,K$5-1,0),$H$7:INDEX($H$7:$H$200,K$5))/$F65</f>
        <v>0.26506203457062288</v>
      </c>
    </row>
    <row r="66" spans="1:11" ht="15.75">
      <c r="A66" s="1">
        <v>60</v>
      </c>
      <c r="B66" s="7">
        <v>9.3130000000000001E-3</v>
      </c>
      <c r="C66" s="7">
        <v>5.7679999999999997E-3</v>
      </c>
      <c r="D66" s="7">
        <v>6.9890000000000004E-3</v>
      </c>
      <c r="E66" s="7">
        <v>4.2719999999999998E-3</v>
      </c>
      <c r="F66" s="1">
        <f t="shared" si="1"/>
        <v>90010.741050107375</v>
      </c>
      <c r="G66" s="6">
        <f t="shared" si="2"/>
        <v>838.27003139964995</v>
      </c>
      <c r="H66" s="1">
        <f t="shared" si="3"/>
        <v>9.506040102090399E-2</v>
      </c>
      <c r="I66" s="1">
        <f ca="1">SUMPRODUCT($G66:OFFSET($G66,I$5-1,0),$H$7:INDEX($H$7:$H$200,I$5))/$F66</f>
        <v>0.11726483443843046</v>
      </c>
      <c r="J66" s="1">
        <f ca="1">SUMPRODUCT($G66:OFFSET($G66,J$5-1,0),$H$7:INDEX($H$7:$H$200,J$5))/$F66</f>
        <v>0.19821091605977684</v>
      </c>
      <c r="K66" s="1">
        <f ca="1">SUMPRODUCT($G66:OFFSET($G66,K$5-1,0),$H$7:INDEX($H$7:$H$200,K$5))/$F66</f>
        <v>0.28768607067753227</v>
      </c>
    </row>
    <row r="67" spans="1:11" ht="15.75">
      <c r="A67" s="1">
        <v>61</v>
      </c>
      <c r="B67" s="7">
        <v>1.0489999999999999E-2</v>
      </c>
      <c r="C67" s="7">
        <v>6.4650000000000003E-3</v>
      </c>
      <c r="D67" s="7">
        <v>7.8670000000000007E-3</v>
      </c>
      <c r="E67" s="7">
        <v>4.7809999999999997E-3</v>
      </c>
      <c r="F67" s="1">
        <f t="shared" si="1"/>
        <v>89172.471018707729</v>
      </c>
      <c r="G67" s="6">
        <f t="shared" si="2"/>
        <v>935.419220986244</v>
      </c>
      <c r="H67" s="1">
        <f t="shared" si="3"/>
        <v>9.1404231750869216E-2</v>
      </c>
      <c r="I67" s="1">
        <f ca="1">SUMPRODUCT($G67:OFFSET($G67,I$5-1,0),$H$7:INDEX($H$7:$H$200,I$5))/$F67</f>
        <v>0.12955138369603836</v>
      </c>
      <c r="J67" s="1">
        <f ca="1">SUMPRODUCT($G67:OFFSET($G67,J$5-1,0),$H$7:INDEX($H$7:$H$200,J$5))/$F67</f>
        <v>0.21709224293482193</v>
      </c>
      <c r="K67" s="1">
        <f ca="1">SUMPRODUCT($G67:OFFSET($G67,K$5-1,0),$H$7:INDEX($H$7:$H$200,K$5))/$F67</f>
        <v>0.31135339433017206</v>
      </c>
    </row>
    <row r="68" spans="1:11" ht="15.75">
      <c r="A68" s="1">
        <v>62</v>
      </c>
      <c r="B68" s="7">
        <v>1.1747E-2</v>
      </c>
      <c r="C68" s="7">
        <v>7.2350000000000001E-3</v>
      </c>
      <c r="D68" s="7">
        <v>8.7250000000000001E-3</v>
      </c>
      <c r="E68" s="7">
        <v>5.3509999999999999E-3</v>
      </c>
      <c r="F68" s="1">
        <f t="shared" si="1"/>
        <v>88237.051797721491</v>
      </c>
      <c r="G68" s="6">
        <f t="shared" si="2"/>
        <v>1036.5206474678344</v>
      </c>
      <c r="H68" s="1">
        <f t="shared" si="3"/>
        <v>8.7888684375835774E-2</v>
      </c>
      <c r="I68" s="1">
        <f ca="1">SUMPRODUCT($G68:OFFSET($G68,I$5-1,0),$H$7:INDEX($H$7:$H$200,I$5))/$F68</f>
        <v>0.14287049790738393</v>
      </c>
      <c r="J68" s="1">
        <f ca="1">SUMPRODUCT($G68:OFFSET($G68,J$5-1,0),$H$7:INDEX($H$7:$H$200,J$5))/$F68</f>
        <v>0.2372307342407417</v>
      </c>
      <c r="K68" s="1">
        <f ca="1">SUMPRODUCT($G68:OFFSET($G68,K$5-1,0),$H$7:INDEX($H$7:$H$200,K$5))/$F68</f>
        <v>0.33598859571100065</v>
      </c>
    </row>
    <row r="69" spans="1:11" ht="15.75">
      <c r="A69" s="1">
        <v>63</v>
      </c>
      <c r="B69" s="7">
        <v>1.3091E-2</v>
      </c>
      <c r="C69" s="7">
        <v>8.0940000000000005E-3</v>
      </c>
      <c r="D69" s="7">
        <v>9.6769999999999998E-3</v>
      </c>
      <c r="E69" s="7">
        <v>5.9880000000000003E-3</v>
      </c>
      <c r="F69" s="1">
        <f t="shared" si="1"/>
        <v>87200.531150253664</v>
      </c>
      <c r="G69" s="6">
        <f t="shared" si="2"/>
        <v>1141.5421532879707</v>
      </c>
      <c r="H69" s="1">
        <f t="shared" si="3"/>
        <v>8.4508350361380546E-2</v>
      </c>
      <c r="I69" s="1">
        <f ca="1">SUMPRODUCT($G69:OFFSET($G69,I$5-1,0),$H$7:INDEX($H$7:$H$200,I$5))/$F69</f>
        <v>0.1573210871357541</v>
      </c>
      <c r="J69" s="1">
        <f ca="1">SUMPRODUCT($G69:OFFSET($G69,J$5-1,0),$H$7:INDEX($H$7:$H$200,J$5))/$F69</f>
        <v>0.25866949545035506</v>
      </c>
      <c r="K69" s="1">
        <f ca="1">SUMPRODUCT($G69:OFFSET($G69,K$5-1,0),$H$7:INDEX($H$7:$H$200,K$5))/$F69</f>
        <v>0.36150892655685768</v>
      </c>
    </row>
    <row r="70" spans="1:11" ht="15.75">
      <c r="A70" s="1">
        <v>64</v>
      </c>
      <c r="B70" s="7">
        <v>1.4541999999999999E-2</v>
      </c>
      <c r="C70" s="7">
        <v>9.0589999999999993E-3</v>
      </c>
      <c r="D70" s="7">
        <v>1.0730999999999999E-2</v>
      </c>
      <c r="E70" s="7">
        <v>6.7010000000000004E-3</v>
      </c>
      <c r="F70" s="1">
        <f t="shared" si="1"/>
        <v>86058.988996965694</v>
      </c>
      <c r="G70" s="6">
        <f t="shared" si="2"/>
        <v>1251.469817993875</v>
      </c>
      <c r="H70" s="1">
        <f t="shared" si="3"/>
        <v>8.1258029193635131E-2</v>
      </c>
      <c r="I70" s="1">
        <f ca="1">SUMPRODUCT($G70:OFFSET($G70,I$5-1,0),$H$7:INDEX($H$7:$H$200,I$5))/$F70</f>
        <v>0.17300323641595988</v>
      </c>
      <c r="J70" s="1">
        <f ca="1">SUMPRODUCT($G70:OFFSET($G70,J$5-1,0),$H$7:INDEX($H$7:$H$200,J$5))/$F70</f>
        <v>0.28143907276560126</v>
      </c>
      <c r="K70" s="1">
        <f ca="1">SUMPRODUCT($G70:OFFSET($G70,K$5-1,0),$H$7:INDEX($H$7:$H$200,K$5))/$F70</f>
        <v>0.38780325089434903</v>
      </c>
    </row>
    <row r="71" spans="1:11" ht="15.75">
      <c r="A71" s="1">
        <v>65</v>
      </c>
      <c r="B71" s="7">
        <v>1.6133999999999999E-2</v>
      </c>
      <c r="C71" s="7">
        <v>1.0148000000000001E-2</v>
      </c>
      <c r="D71" s="7">
        <v>1.1900000000000001E-2</v>
      </c>
      <c r="E71" s="7">
        <v>7.4989999999999996E-3</v>
      </c>
      <c r="F71" s="1">
        <f t="shared" si="1"/>
        <v>84807.519178971823</v>
      </c>
      <c r="G71" s="6">
        <f t="shared" si="2"/>
        <v>1368.2845144335313</v>
      </c>
      <c r="H71" s="1">
        <f t="shared" ref="H71:H102" si="4">v0*H70</f>
        <v>7.8132720378495307E-2</v>
      </c>
      <c r="I71" s="1">
        <f ca="1">SUMPRODUCT($G71:OFFSET($G71,I$5-1,0),$H$7:INDEX($H$7:$H$200,I$5))/$F71</f>
        <v>0.19000424728697451</v>
      </c>
      <c r="J71" s="1">
        <f ca="1">SUMPRODUCT($G71:OFFSET($G71,J$5-1,0),$H$7:INDEX($H$7:$H$200,J$5))/$F71</f>
        <v>0.30554338766094752</v>
      </c>
      <c r="K71" s="1">
        <f ca="1">SUMPRODUCT($G71:OFFSET($G71,K$5-1,0),$H$7:INDEX($H$7:$H$200,K$5))/$F71</f>
        <v>0.41472455155062077</v>
      </c>
    </row>
    <row r="72" spans="1:11" ht="15.75">
      <c r="A72" s="1">
        <v>66</v>
      </c>
      <c r="B72" s="7">
        <v>1.7905000000000001E-2</v>
      </c>
      <c r="C72" s="7">
        <v>1.1376000000000001E-2</v>
      </c>
      <c r="D72" s="7">
        <v>1.3228999999999999E-2</v>
      </c>
      <c r="E72" s="7">
        <v>8.4080000000000005E-3</v>
      </c>
      <c r="F72" s="1">
        <f t="shared" ref="F72:F111" si="5">F71-G71</f>
        <v>83439.234664538293</v>
      </c>
      <c r="G72" s="6">
        <f t="shared" ref="G72:G111" si="6">F72*B72</f>
        <v>1493.9794966685581</v>
      </c>
      <c r="H72" s="1">
        <f t="shared" si="4"/>
        <v>7.5127615748553173E-2</v>
      </c>
      <c r="I72" s="1">
        <f ca="1">SUMPRODUCT($G72:OFFSET($G72,I$5-1,0),$H$7:INDEX($H$7:$H$200,I$5))/$F72</f>
        <v>0.2083911943242043</v>
      </c>
      <c r="J72" s="1">
        <f ca="1">SUMPRODUCT($G72:OFFSET($G72,J$5-1,0),$H$7:INDEX($H$7:$H$200,J$5))/$F72</f>
        <v>0.33095434771299215</v>
      </c>
      <c r="K72" s="1">
        <f ca="1">SUMPRODUCT($G72:OFFSET($G72,K$5-1,0),$H$7:INDEX($H$7:$H$200,K$5))/$F72</f>
        <v>0.44208474382845969</v>
      </c>
    </row>
    <row r="73" spans="1:11" ht="15.75">
      <c r="A73" s="1">
        <v>67</v>
      </c>
      <c r="B73" s="7">
        <v>1.9886000000000001E-2</v>
      </c>
      <c r="C73" s="7">
        <v>1.2760000000000001E-2</v>
      </c>
      <c r="D73" s="7">
        <v>1.4704999999999999E-2</v>
      </c>
      <c r="E73" s="7">
        <v>9.4380000000000002E-3</v>
      </c>
      <c r="F73" s="1">
        <f t="shared" si="5"/>
        <v>81945.255167869735</v>
      </c>
      <c r="G73" s="6">
        <f t="shared" si="6"/>
        <v>1629.5633442682577</v>
      </c>
      <c r="H73" s="1">
        <f t="shared" si="4"/>
        <v>7.2238092065916512E-2</v>
      </c>
      <c r="I73" s="1">
        <f ca="1">SUMPRODUCT($G73:OFFSET($G73,I$5-1,0),$H$7:INDEX($H$7:$H$200,I$5))/$F73</f>
        <v>0.22820587778633672</v>
      </c>
      <c r="J73" s="1">
        <f ca="1">SUMPRODUCT($G73:OFFSET($G73,J$5-1,0),$H$7:INDEX($H$7:$H$200,J$5))/$F73</f>
        <v>0.35758540223750673</v>
      </c>
      <c r="K73" s="1">
        <f ca="1">SUMPRODUCT($G73:OFFSET($G73,K$5-1,0),$H$7:INDEX($H$7:$H$200,K$5))/$F73</f>
        <v>0.46965799882723874</v>
      </c>
    </row>
    <row r="74" spans="1:11" ht="15.75">
      <c r="A74" s="1">
        <v>68</v>
      </c>
      <c r="B74" s="7">
        <v>2.2103000000000001E-2</v>
      </c>
      <c r="C74" s="7">
        <v>1.4316000000000001E-2</v>
      </c>
      <c r="D74" s="7">
        <v>1.6344000000000001E-2</v>
      </c>
      <c r="E74" s="7">
        <v>1.0592000000000001E-2</v>
      </c>
      <c r="F74" s="1">
        <f t="shared" si="5"/>
        <v>80315.691823601475</v>
      </c>
      <c r="G74" s="6">
        <f t="shared" si="6"/>
        <v>1775.2177363770636</v>
      </c>
      <c r="H74" s="1">
        <f t="shared" si="4"/>
        <v>6.9459703909535098E-2</v>
      </c>
      <c r="I74" s="1">
        <f ca="1">SUMPRODUCT($G74:OFFSET($G74,I$5-1,0),$H$7:INDEX($H$7:$H$200,I$5))/$F74</f>
        <v>0.2494724316600361</v>
      </c>
      <c r="J74" s="1">
        <f ca="1">SUMPRODUCT($G74:OFFSET($G74,J$5-1,0),$H$7:INDEX($H$7:$H$200,J$5))/$F74</f>
        <v>0.3853178788137806</v>
      </c>
      <c r="K74" s="1">
        <f ca="1">SUMPRODUCT($G74:OFFSET($G74,K$5-1,0),$H$7:INDEX($H$7:$H$200,K$5))/$F74</f>
        <v>0.49719349955828851</v>
      </c>
    </row>
    <row r="75" spans="1:11" ht="15.75">
      <c r="A75" s="1">
        <v>69</v>
      </c>
      <c r="B75" s="7">
        <v>2.4570999999999999E-2</v>
      </c>
      <c r="C75" s="7">
        <v>1.6066E-2</v>
      </c>
      <c r="D75" s="7">
        <v>1.8164E-2</v>
      </c>
      <c r="E75" s="7">
        <v>1.1886000000000001E-2</v>
      </c>
      <c r="F75" s="1">
        <f t="shared" si="5"/>
        <v>78540.474087224415</v>
      </c>
      <c r="G75" s="6">
        <f t="shared" si="6"/>
        <v>1929.817988797191</v>
      </c>
      <c r="H75" s="1">
        <f t="shared" si="4"/>
        <v>6.6788176836091437E-2</v>
      </c>
      <c r="I75" s="1">
        <f ca="1">SUMPRODUCT($G75:OFFSET($G75,I$5-1,0),$H$7:INDEX($H$7:$H$200,I$5))/$F75</f>
        <v>0.27220035968163098</v>
      </c>
      <c r="J75" s="1">
        <f ca="1">SUMPRODUCT($G75:OFFSET($G75,J$5-1,0),$H$7:INDEX($H$7:$H$200,J$5))/$F75</f>
        <v>0.41399662960677669</v>
      </c>
      <c r="K75" s="1">
        <f ca="1">SUMPRODUCT($G75:OFFSET($G75,K$5-1,0),$H$7:INDEX($H$7:$H$200,K$5))/$F75</f>
        <v>0.52442745862547069</v>
      </c>
    </row>
    <row r="76" spans="1:11" ht="15.75">
      <c r="A76" s="1">
        <v>70</v>
      </c>
      <c r="B76" s="7">
        <v>2.7309E-2</v>
      </c>
      <c r="C76" s="7">
        <v>1.8033E-2</v>
      </c>
      <c r="D76" s="7">
        <v>2.0184000000000001E-2</v>
      </c>
      <c r="E76" s="7">
        <v>1.3337E-2</v>
      </c>
      <c r="F76" s="1">
        <f t="shared" si="5"/>
        <v>76610.656098427222</v>
      </c>
      <c r="G76" s="6">
        <f t="shared" si="6"/>
        <v>2092.1604073919489</v>
      </c>
      <c r="H76" s="1">
        <f t="shared" si="4"/>
        <v>6.4219400803934068E-2</v>
      </c>
      <c r="I76" s="1">
        <f ca="1">SUMPRODUCT($G76:OFFSET($G76,I$5-1,0),$H$7:INDEX($H$7:$H$200,I$5))/$F76</f>
        <v>0.29638912176833399</v>
      </c>
      <c r="J76" s="1">
        <f ca="1">SUMPRODUCT($G76:OFFSET($G76,J$5-1,0),$H$7:INDEX($H$7:$H$200,J$5))/$F76</f>
        <v>0.44343728147095346</v>
      </c>
      <c r="K76" s="1">
        <f ca="1">SUMPRODUCT($G76:OFFSET($G76,K$5-1,0),$H$7:INDEX($H$7:$H$200,K$5))/$F76</f>
        <v>0.55109991419289639</v>
      </c>
    </row>
    <row r="77" spans="1:11" ht="15.75">
      <c r="A77" s="1">
        <v>71</v>
      </c>
      <c r="B77" s="7">
        <v>3.0339999999999999E-2</v>
      </c>
      <c r="C77" s="7">
        <v>2.0240999999999999E-2</v>
      </c>
      <c r="D77" s="7">
        <v>2.2425E-2</v>
      </c>
      <c r="E77" s="7">
        <v>1.4964E-2</v>
      </c>
      <c r="F77" s="1">
        <f t="shared" si="5"/>
        <v>74518.495691035278</v>
      </c>
      <c r="G77" s="6">
        <f t="shared" si="6"/>
        <v>2260.8911592660102</v>
      </c>
      <c r="H77" s="1">
        <f t="shared" si="4"/>
        <v>6.1749423849936598E-2</v>
      </c>
      <c r="I77" s="1">
        <f ca="1">SUMPRODUCT($G77:OFFSET($G77,I$5-1,0),$H$7:INDEX($H$7:$H$200,I$5))/$F77</f>
        <v>0.32203182788170231</v>
      </c>
      <c r="J77" s="1">
        <f ca="1">SUMPRODUCT($G77:OFFSET($G77,J$5-1,0),$H$7:INDEX($H$7:$H$200,J$5))/$F77</f>
        <v>0.4734248266824132</v>
      </c>
      <c r="K77" s="1">
        <f ca="1">SUMPRODUCT($G77:OFFSET($G77,K$5-1,0),$H$7:INDEX($H$7:$H$200,K$5))/$F77</f>
        <v>0.57696471426184814</v>
      </c>
    </row>
    <row r="78" spans="1:11" ht="15.75">
      <c r="A78" s="1">
        <v>72</v>
      </c>
      <c r="B78" s="7">
        <v>3.3683999999999999E-2</v>
      </c>
      <c r="C78" s="7">
        <v>2.2714999999999999E-2</v>
      </c>
      <c r="D78" s="7">
        <v>2.4910999999999999E-2</v>
      </c>
      <c r="E78" s="7">
        <v>1.6787E-2</v>
      </c>
      <c r="F78" s="1">
        <f t="shared" si="5"/>
        <v>72257.604531769262</v>
      </c>
      <c r="G78" s="6">
        <f t="shared" si="6"/>
        <v>2433.9251510481158</v>
      </c>
      <c r="H78" s="1">
        <f t="shared" si="4"/>
        <v>5.9374446009554417E-2</v>
      </c>
      <c r="I78" s="1">
        <f ca="1">SUMPRODUCT($G78:OFFSET($G78,I$5-1,0),$H$7:INDEX($H$7:$H$200,I$5))/$F78</f>
        <v>0.34907905938565836</v>
      </c>
      <c r="J78" s="1">
        <f ca="1">SUMPRODUCT($G78:OFFSET($G78,J$5-1,0),$H$7:INDEX($H$7:$H$200,J$5))/$F78</f>
        <v>0.5037135552169455</v>
      </c>
      <c r="K78" s="1">
        <f ca="1">SUMPRODUCT($G78:OFFSET($G78,K$5-1,0),$H$7:INDEX($H$7:$H$200,K$5))/$F78</f>
        <v>0.60180103445087851</v>
      </c>
    </row>
    <row r="79" spans="1:11" ht="15.75">
      <c r="A79" s="1">
        <v>73</v>
      </c>
      <c r="B79" s="7">
        <v>3.7371000000000001E-2</v>
      </c>
      <c r="C79" s="7">
        <v>2.5479000000000002E-2</v>
      </c>
      <c r="D79" s="7">
        <v>2.7668000000000002E-2</v>
      </c>
      <c r="E79" s="7">
        <v>1.8828999999999999E-2</v>
      </c>
      <c r="F79" s="1">
        <f t="shared" si="5"/>
        <v>69823.679380721151</v>
      </c>
      <c r="G79" s="6">
        <f t="shared" si="6"/>
        <v>2609.3807221369302</v>
      </c>
      <c r="H79" s="1">
        <f t="shared" si="4"/>
        <v>5.7090813470725393E-2</v>
      </c>
      <c r="I79" s="1">
        <f ca="1">SUMPRODUCT($G79:OFFSET($G79,I$5-1,0),$H$7:INDEX($H$7:$H$200,I$5))/$F79</f>
        <v>0.37746758855979978</v>
      </c>
      <c r="J79" s="1">
        <f ca="1">SUMPRODUCT($G79:OFFSET($G79,J$5-1,0),$H$7:INDEX($H$7:$H$200,J$5))/$F79</f>
        <v>0.53403444389042432</v>
      </c>
      <c r="K79" s="1">
        <f ca="1">SUMPRODUCT($G79:OFFSET($G79,K$5-1,0),$H$7:INDEX($H$7:$H$200,K$5))/$F79</f>
        <v>0.62542773893893566</v>
      </c>
    </row>
    <row r="80" spans="1:11" ht="15.75">
      <c r="A80" s="1">
        <v>74</v>
      </c>
      <c r="B80" s="7">
        <v>4.1430000000000002E-2</v>
      </c>
      <c r="C80" s="7">
        <v>2.8561E-2</v>
      </c>
      <c r="D80" s="7">
        <v>3.0647000000000001E-2</v>
      </c>
      <c r="E80" s="7">
        <v>2.1117E-2</v>
      </c>
      <c r="F80" s="1">
        <f t="shared" si="5"/>
        <v>67214.298658584215</v>
      </c>
      <c r="G80" s="6">
        <f t="shared" si="6"/>
        <v>2784.6883934251441</v>
      </c>
      <c r="H80" s="1">
        <f t="shared" si="4"/>
        <v>5.4895012952620566E-2</v>
      </c>
      <c r="I80" s="1">
        <f ca="1">SUMPRODUCT($G80:OFFSET($G80,I$5-1,0),$H$7:INDEX($H$7:$H$200,I$5))/$F80</f>
        <v>0.40710109233146613</v>
      </c>
      <c r="J80" s="1">
        <f ca="1">SUMPRODUCT($G80:OFFSET($G80,J$5-1,0),$H$7:INDEX($H$7:$H$200,J$5))/$F80</f>
        <v>0.56409719665514335</v>
      </c>
      <c r="K80" s="1">
        <f ca="1">SUMPRODUCT($G80:OFFSET($G80,K$5-1,0),$H$7:INDEX($H$7:$H$200,K$5))/$F80</f>
        <v>0.64771130739536253</v>
      </c>
    </row>
    <row r="81" spans="1:11" ht="15.75">
      <c r="A81" s="1">
        <v>75</v>
      </c>
      <c r="B81" s="7">
        <v>4.5901999999999998E-2</v>
      </c>
      <c r="C81" s="7">
        <v>3.1988999999999997E-2</v>
      </c>
      <c r="D81" s="7">
        <v>3.3938999999999997E-2</v>
      </c>
      <c r="E81" s="7">
        <v>2.3702000000000001E-2</v>
      </c>
      <c r="F81" s="1">
        <f t="shared" si="5"/>
        <v>64429.61026515907</v>
      </c>
      <c r="G81" s="6">
        <f t="shared" si="6"/>
        <v>2957.4479703913316</v>
      </c>
      <c r="H81" s="1">
        <f t="shared" si="4"/>
        <v>5.2783666300596693E-2</v>
      </c>
      <c r="I81" s="1">
        <f ca="1">SUMPRODUCT($G81:OFFSET($G81,I$5-1,0),$H$7:INDEX($H$7:$H$200,I$5))/$F81</f>
        <v>0.43784920162105345</v>
      </c>
      <c r="J81" s="1">
        <f ca="1">SUMPRODUCT($G81:OFFSET($G81,J$5-1,0),$H$7:INDEX($H$7:$H$200,J$5))/$F81</f>
        <v>0.59360182469639666</v>
      </c>
      <c r="K81" s="1">
        <f ca="1">SUMPRODUCT($G81:OFFSET($G81,K$5-1,0),$H$7:INDEX($H$7:$H$200,K$5))/$F81</f>
        <v>0.66857515917698096</v>
      </c>
    </row>
    <row r="82" spans="1:11" ht="15.75">
      <c r="A82" s="1">
        <v>76</v>
      </c>
      <c r="B82" s="7">
        <v>5.0828999999999999E-2</v>
      </c>
      <c r="C82" s="7">
        <v>3.5796000000000001E-2</v>
      </c>
      <c r="D82" s="7">
        <v>3.7576999999999999E-2</v>
      </c>
      <c r="E82" s="7">
        <v>2.6491000000000001E-2</v>
      </c>
      <c r="F82" s="1">
        <f t="shared" si="5"/>
        <v>61472.162294767739</v>
      </c>
      <c r="G82" s="6">
        <f t="shared" si="6"/>
        <v>3124.5685372807493</v>
      </c>
      <c r="H82" s="1">
        <f t="shared" si="4"/>
        <v>5.0753525289035276E-2</v>
      </c>
      <c r="I82" s="1">
        <f ca="1">SUMPRODUCT($G82:OFFSET($G82,I$5-1,0),$H$7:INDEX($H$7:$H$200,I$5))/$F82</f>
        <v>0.46953929132051248</v>
      </c>
      <c r="J82" s="1">
        <f ca="1">SUMPRODUCT($G82:OFFSET($G82,J$5-1,0),$H$7:INDEX($H$7:$H$200,J$5))/$F82</f>
        <v>0.62224665337934082</v>
      </c>
      <c r="K82" s="1">
        <f ca="1">SUMPRODUCT($G82:OFFSET($G82,K$5-1,0),$H$7:INDEX($H$7:$H$200,K$5))/$F82</f>
        <v>0.68800055462967813</v>
      </c>
    </row>
    <row r="83" spans="1:11" ht="15.75">
      <c r="A83" s="1">
        <v>77</v>
      </c>
      <c r="B83" s="7">
        <v>5.6262E-2</v>
      </c>
      <c r="C83" s="7">
        <v>4.0025999999999999E-2</v>
      </c>
      <c r="D83" s="7">
        <v>4.1593999999999999E-2</v>
      </c>
      <c r="E83" s="7">
        <v>2.9602E-2</v>
      </c>
      <c r="F83" s="1">
        <f t="shared" si="5"/>
        <v>58347.593757486989</v>
      </c>
      <c r="G83" s="6">
        <f t="shared" si="6"/>
        <v>3282.7523199837328</v>
      </c>
      <c r="H83" s="1">
        <f t="shared" si="4"/>
        <v>4.8801466624072379E-2</v>
      </c>
      <c r="I83" s="1">
        <f ca="1">SUMPRODUCT($G83:OFFSET($G83,I$5-1,0),$H$7:INDEX($H$7:$H$200,I$5))/$F83</f>
        <v>0.50195557161717907</v>
      </c>
      <c r="J83" s="1">
        <f ca="1">SUMPRODUCT($G83:OFFSET($G83,J$5-1,0),$H$7:INDEX($H$7:$H$200,J$5))/$F83</f>
        <v>0.64974415268919539</v>
      </c>
      <c r="K83" s="1">
        <f ca="1">SUMPRODUCT($G83:OFFSET($G83,K$5-1,0),$H$7:INDEX($H$7:$H$200,K$5))/$F83</f>
        <v>0.70602601359201489</v>
      </c>
    </row>
    <row r="84" spans="1:11" ht="15.75">
      <c r="A84" s="1">
        <v>78</v>
      </c>
      <c r="B84" s="7">
        <v>6.2257E-2</v>
      </c>
      <c r="C84" s="7">
        <v>4.4726000000000002E-2</v>
      </c>
      <c r="D84" s="7">
        <v>4.6027999999999999E-2</v>
      </c>
      <c r="E84" s="7">
        <v>3.3070000000000002E-2</v>
      </c>
      <c r="F84" s="1">
        <f t="shared" si="5"/>
        <v>55064.841437503259</v>
      </c>
      <c r="G84" s="6">
        <f t="shared" si="6"/>
        <v>3428.1718333746403</v>
      </c>
      <c r="H84" s="1">
        <f t="shared" si="4"/>
        <v>4.6924487138531132E-2</v>
      </c>
      <c r="I84" s="1">
        <f ca="1">SUMPRODUCT($G84:OFFSET($G84,I$5-1,0),$H$7:INDEX($H$7:$H$200,I$5))/$F84</f>
        <v>0.53483811337904663</v>
      </c>
      <c r="J84" s="1">
        <f ca="1">SUMPRODUCT($G84:OFFSET($G84,J$5-1,0),$H$7:INDEX($H$7:$H$200,J$5))/$F84</f>
        <v>0.67583495009986638</v>
      </c>
      <c r="K84" s="1">
        <f ca="1">SUMPRODUCT($G84:OFFSET($G84,K$5-1,0),$H$7:INDEX($H$7:$H$200,K$5))/$F84</f>
        <v>0.72273860367989151</v>
      </c>
    </row>
    <row r="85" spans="1:11" ht="15.75">
      <c r="A85" s="1">
        <v>79</v>
      </c>
      <c r="B85" s="7">
        <v>6.8871000000000002E-2</v>
      </c>
      <c r="C85" s="7">
        <v>4.9953999999999998E-2</v>
      </c>
      <c r="D85" s="7">
        <v>5.092E-2</v>
      </c>
      <c r="E85" s="7">
        <v>3.6935000000000003E-2</v>
      </c>
      <c r="F85" s="1">
        <f t="shared" si="5"/>
        <v>51636.66960412862</v>
      </c>
      <c r="G85" s="6">
        <f t="shared" si="6"/>
        <v>3556.2690723059422</v>
      </c>
      <c r="H85" s="1">
        <f t="shared" si="4"/>
        <v>4.5119699171664543E-2</v>
      </c>
      <c r="I85" s="1">
        <f ca="1">SUMPRODUCT($G85:OFFSET($G85,I$5-1,0),$H$7:INDEX($H$7:$H$200,I$5))/$F85</f>
        <v>0.56788504549744345</v>
      </c>
      <c r="J85" s="1">
        <f ca="1">SUMPRODUCT($G85:OFFSET($G85,J$5-1,0),$H$7:INDEX($H$7:$H$200,J$5))/$F85</f>
        <v>0.70030386724158944</v>
      </c>
      <c r="K85" s="1">
        <f ca="1">SUMPRODUCT($G85:OFFSET($G85,K$5-1,0),$H$7:INDEX($H$7:$H$200,K$5))/$F85</f>
        <v>0.73826144594400511</v>
      </c>
    </row>
    <row r="86" spans="1:11" ht="15.75">
      <c r="A86" s="1">
        <v>80</v>
      </c>
      <c r="B86" s="7">
        <v>7.6187000000000005E-2</v>
      </c>
      <c r="C86" s="7">
        <v>5.5773999999999997E-2</v>
      </c>
      <c r="D86" s="7">
        <v>5.6312000000000001E-2</v>
      </c>
      <c r="E86" s="7">
        <v>4.1241E-2</v>
      </c>
      <c r="F86" s="1">
        <f t="shared" si="5"/>
        <v>48080.400531822677</v>
      </c>
      <c r="G86" s="6">
        <f t="shared" si="6"/>
        <v>3663.1014753179747</v>
      </c>
      <c r="H86" s="1">
        <f t="shared" si="4"/>
        <v>4.3384326126600516E-2</v>
      </c>
      <c r="I86" s="1">
        <f ca="1">SUMPRODUCT($G86:OFFSET($G86,I$5-1,0),$H$7:INDEX($H$7:$H$200,I$5))/$F86</f>
        <v>0.60076115662873897</v>
      </c>
      <c r="J86" s="1">
        <f ca="1">SUMPRODUCT($G86:OFFSET($G86,J$5-1,0),$H$7:INDEX($H$7:$H$200,J$5))/$F86</f>
        <v>0.72299485456766988</v>
      </c>
      <c r="K86" s="1">
        <f ca="1">SUMPRODUCT($G86:OFFSET($G86,K$5-1,0),$H$7:INDEX($H$7:$H$200,K$5))/$F86</f>
        <v>0.75273878322407062</v>
      </c>
    </row>
    <row r="87" spans="1:11" ht="15.75">
      <c r="A87" s="1">
        <v>81</v>
      </c>
      <c r="B87" s="7">
        <v>8.4223999999999993E-2</v>
      </c>
      <c r="C87" s="7">
        <v>6.2253000000000003E-2</v>
      </c>
      <c r="D87" s="7">
        <v>6.2253000000000003E-2</v>
      </c>
      <c r="E87" s="7">
        <v>4.6032999999999998E-2</v>
      </c>
      <c r="F87" s="1">
        <f t="shared" si="5"/>
        <v>44417.2990565047</v>
      </c>
      <c r="G87" s="6">
        <f t="shared" si="6"/>
        <v>3741.0025957350517</v>
      </c>
      <c r="H87" s="1">
        <f t="shared" si="4"/>
        <v>4.1715698198654338E-2</v>
      </c>
      <c r="I87" s="1">
        <f ca="1">SUMPRODUCT($G87:OFFSET($G87,I$5-1,0),$H$7:INDEX($H$7:$H$200,I$5))/$F87</f>
        <v>0.63309836076071191</v>
      </c>
      <c r="J87" s="1">
        <f ca="1">SUMPRODUCT($G87:OFFSET($G87,J$5-1,0),$H$7:INDEX($H$7:$H$200,J$5))/$F87</f>
        <v>0.74381542589786653</v>
      </c>
      <c r="K87" s="1">
        <f ca="1">SUMPRODUCT($G87:OFFSET($G87,K$5-1,0),$H$7:INDEX($H$7:$H$200,K$5))/$F87</f>
        <v>0.76631346465677042</v>
      </c>
    </row>
    <row r="88" spans="1:11" ht="15.75">
      <c r="A88" s="1">
        <v>82</v>
      </c>
      <c r="B88" s="7">
        <v>9.3071000000000001E-2</v>
      </c>
      <c r="C88" s="7">
        <v>6.9494E-2</v>
      </c>
      <c r="D88" s="7">
        <v>6.8791000000000005E-2</v>
      </c>
      <c r="E88" s="7">
        <v>5.1365000000000001E-2</v>
      </c>
      <c r="F88" s="1">
        <f t="shared" si="5"/>
        <v>40676.296460769649</v>
      </c>
      <c r="G88" s="6">
        <f t="shared" si="6"/>
        <v>3785.7835879002919</v>
      </c>
      <c r="H88" s="1">
        <f t="shared" si="4"/>
        <v>4.0111248267936862E-2</v>
      </c>
      <c r="I88" s="1">
        <f ca="1">SUMPRODUCT($G88:OFFSET($G88,I$5-1,0),$H$7:INDEX($H$7:$H$200,I$5))/$F88</f>
        <v>0.66453606559594125</v>
      </c>
      <c r="J88" s="1">
        <f ca="1">SUMPRODUCT($G88:OFFSET($G88,J$5-1,0),$H$7:INDEX($H$7:$H$200,J$5))/$F88</f>
        <v>0.76275985651727352</v>
      </c>
      <c r="K88" s="1">
        <f ca="1">SUMPRODUCT($G88:OFFSET($G88,K$5-1,0),$H$7:INDEX($H$7:$H$200,K$5))/$F88</f>
        <v>0.77912831691978834</v>
      </c>
    </row>
    <row r="89" spans="1:11" ht="15.75">
      <c r="A89" s="1">
        <v>83</v>
      </c>
      <c r="B89" s="7">
        <v>0.1028</v>
      </c>
      <c r="C89" s="7">
        <v>7.7510999999999997E-2</v>
      </c>
      <c r="D89" s="7">
        <v>7.5982999999999995E-2</v>
      </c>
      <c r="E89" s="7">
        <v>5.7291000000000002E-2</v>
      </c>
      <c r="F89" s="1">
        <f t="shared" si="5"/>
        <v>36890.51287286936</v>
      </c>
      <c r="G89" s="6">
        <f t="shared" si="6"/>
        <v>3792.3447233309703</v>
      </c>
      <c r="H89" s="1">
        <f t="shared" si="4"/>
        <v>3.8568507949939289E-2</v>
      </c>
      <c r="I89" s="1">
        <f ca="1">SUMPRODUCT($G89:OFFSET($G89,I$5-1,0),$H$7:INDEX($H$7:$H$200,I$5))/$F89</f>
        <v>0.69470963363768656</v>
      </c>
      <c r="J89" s="1">
        <f ca="1">SUMPRODUCT($G89:OFFSET($G89,J$5-1,0),$H$7:INDEX($H$7:$H$200,J$5))/$F89</f>
        <v>0.77988873814253989</v>
      </c>
      <c r="K89" s="1">
        <f ca="1">SUMPRODUCT($G89:OFFSET($G89,K$5-1,0),$H$7:INDEX($H$7:$H$200,K$5))/$F89</f>
        <v>0.79129889160195632</v>
      </c>
    </row>
    <row r="90" spans="1:11" ht="15.75">
      <c r="A90" s="1">
        <v>84</v>
      </c>
      <c r="B90" s="7">
        <v>0.11348900000000001</v>
      </c>
      <c r="C90" s="7">
        <v>8.6415000000000006E-2</v>
      </c>
      <c r="D90" s="7">
        <v>8.3882999999999999E-2</v>
      </c>
      <c r="E90" s="7">
        <v>6.3871999999999998E-2</v>
      </c>
      <c r="F90" s="1">
        <f t="shared" si="5"/>
        <v>33098.168149538389</v>
      </c>
      <c r="G90" s="6">
        <f t="shared" si="6"/>
        <v>3756.2780051229624</v>
      </c>
      <c r="H90" s="1">
        <f t="shared" si="4"/>
        <v>3.7085103798018541E-2</v>
      </c>
      <c r="I90" s="1">
        <f ca="1">SUMPRODUCT($G90:OFFSET($G90,I$5-1,0),$H$7:INDEX($H$7:$H$200,I$5))/$F90</f>
        <v>0.72327785401916833</v>
      </c>
      <c r="J90" s="1">
        <f ca="1">SUMPRODUCT($G90:OFFSET($G90,J$5-1,0),$H$7:INDEX($H$7:$H$200,J$5))/$F90</f>
        <v>0.79532544491841528</v>
      </c>
      <c r="K90" s="1">
        <f ca="1">SUMPRODUCT($G90:OFFSET($G90,K$5-1,0),$H$7:INDEX($H$7:$H$200,K$5))/$F90</f>
        <v>0.80291272756633925</v>
      </c>
    </row>
    <row r="91" spans="1:11" ht="15.75">
      <c r="A91" s="1">
        <v>85</v>
      </c>
      <c r="B91" s="7">
        <v>0.125221</v>
      </c>
      <c r="C91" s="7">
        <v>9.6294000000000005E-2</v>
      </c>
      <c r="D91" s="7">
        <v>9.2553999999999997E-2</v>
      </c>
      <c r="E91" s="7">
        <v>7.1174000000000001E-2</v>
      </c>
      <c r="F91" s="1">
        <f t="shared" si="5"/>
        <v>29341.890144415425</v>
      </c>
      <c r="G91" s="6">
        <f t="shared" si="6"/>
        <v>3674.2208257738439</v>
      </c>
      <c r="H91" s="1">
        <f t="shared" si="4"/>
        <v>3.5658753651940905E-2</v>
      </c>
      <c r="I91" s="1">
        <f ca="1">SUMPRODUCT($G91:OFFSET($G91,I$5-1,0),$H$7:INDEX($H$7:$H$200,I$5))/$F91</f>
        <v>0.74994129363045248</v>
      </c>
      <c r="J91" s="1">
        <f ca="1">SUMPRODUCT($G91:OFFSET($G91,J$5-1,0),$H$7:INDEX($H$7:$H$200,J$5))/$F91</f>
        <v>0.80923997244900714</v>
      </c>
      <c r="K91" s="1">
        <f ca="1">SUMPRODUCT($G91:OFFSET($G91,K$5-1,0),$H$7:INDEX($H$7:$H$200,K$5))/$F91</f>
        <v>0.81402871870491667</v>
      </c>
    </row>
    <row r="92" spans="1:11" ht="15.75">
      <c r="A92" s="1">
        <v>86</v>
      </c>
      <c r="B92" s="7">
        <v>0.13808000000000001</v>
      </c>
      <c r="C92" s="7">
        <v>0.107243</v>
      </c>
      <c r="D92" s="7">
        <v>0.102059</v>
      </c>
      <c r="E92" s="7">
        <v>7.9267000000000004E-2</v>
      </c>
      <c r="F92" s="1">
        <f t="shared" si="5"/>
        <v>25667.66931864158</v>
      </c>
      <c r="G92" s="6">
        <f t="shared" si="6"/>
        <v>3544.1917795180293</v>
      </c>
      <c r="H92" s="1">
        <f t="shared" si="4"/>
        <v>3.4287263126866252E-2</v>
      </c>
      <c r="I92" s="1">
        <f ca="1">SUMPRODUCT($G92:OFFSET($G92,I$5-1,0),$H$7:INDEX($H$7:$H$200,I$5))/$F92</f>
        <v>0.77446159799479986</v>
      </c>
      <c r="J92" s="1">
        <f ca="1">SUMPRODUCT($G92:OFFSET($G92,J$5-1,0),$H$7:INDEX($H$7:$H$200,J$5))/$F92</f>
        <v>0.82182872760813752</v>
      </c>
      <c r="K92" s="1">
        <f ca="1">SUMPRODUCT($G92:OFFSET($G92,K$5-1,0),$H$7:INDEX($H$7:$H$200,K$5))/$F92</f>
        <v>0.8247042359312714</v>
      </c>
    </row>
    <row r="93" spans="1:11" ht="15.75">
      <c r="A93" s="1">
        <v>87</v>
      </c>
      <c r="B93" s="7">
        <v>0.15215699999999999</v>
      </c>
      <c r="C93" s="7">
        <v>0.119364</v>
      </c>
      <c r="D93" s="7">
        <v>0.11246399999999999</v>
      </c>
      <c r="E93" s="7">
        <v>8.8224999999999998E-2</v>
      </c>
      <c r="F93" s="1">
        <f t="shared" si="5"/>
        <v>22123.477539123549</v>
      </c>
      <c r="G93" s="6">
        <f t="shared" si="6"/>
        <v>3366.2419719204217</v>
      </c>
      <c r="H93" s="1">
        <f t="shared" si="4"/>
        <v>3.2968522237371393E-2</v>
      </c>
      <c r="I93" s="1">
        <f ca="1">SUMPRODUCT($G93:OFFSET($G93,I$5-1,0),$H$7:INDEX($H$7:$H$200,I$5))/$F93</f>
        <v>0.79667842266289635</v>
      </c>
      <c r="J93" s="1">
        <f ca="1">SUMPRODUCT($G93:OFFSET($G93,J$5-1,0),$H$7:INDEX($H$7:$H$200,J$5))/$F93</f>
        <v>0.83329371777324679</v>
      </c>
      <c r="K93" s="1">
        <f ca="1">SUMPRODUCT($G93:OFFSET($G93,K$5-1,0),$H$7:INDEX($H$7:$H$200,K$5))/$F93</f>
        <v>0.83489466002473833</v>
      </c>
    </row>
    <row r="94" spans="1:11" ht="15.75">
      <c r="A94" s="1">
        <v>88</v>
      </c>
      <c r="B94" s="7">
        <v>0.167543</v>
      </c>
      <c r="C94" s="7">
        <v>0.13276299999999999</v>
      </c>
      <c r="D94" s="7">
        <v>0.123836</v>
      </c>
      <c r="E94" s="7">
        <v>9.8128999999999994E-2</v>
      </c>
      <c r="F94" s="1">
        <f t="shared" si="5"/>
        <v>18757.235567203126</v>
      </c>
      <c r="G94" s="6">
        <f t="shared" si="6"/>
        <v>3142.6435186359136</v>
      </c>
      <c r="H94" s="1">
        <f t="shared" si="4"/>
        <v>3.1700502151318644E-2</v>
      </c>
      <c r="I94" s="1">
        <f ca="1">SUMPRODUCT($G94:OFFSET($G94,I$5-1,0),$H$7:INDEX($H$7:$H$200,I$5))/$F94</f>
        <v>0.81652007477784727</v>
      </c>
      <c r="J94" s="1">
        <f ca="1">SUMPRODUCT($G94:OFFSET($G94,J$5-1,0),$H$7:INDEX($H$7:$H$200,J$5))/$F94</f>
        <v>0.84382267703663649</v>
      </c>
      <c r="K94" s="1">
        <f ca="1">SUMPRODUCT($G94:OFFSET($G94,K$5-1,0),$H$7:INDEX($H$7:$H$200,K$5))/$F94</f>
        <v>0.84465336910929012</v>
      </c>
    </row>
    <row r="95" spans="1:11" ht="15.75">
      <c r="A95" s="1">
        <v>89</v>
      </c>
      <c r="B95" s="7">
        <v>0.184333</v>
      </c>
      <c r="C95" s="7">
        <v>0.14755299999999999</v>
      </c>
      <c r="D95" s="7">
        <v>0.13624600000000001</v>
      </c>
      <c r="E95" s="7">
        <v>0.10906100000000001</v>
      </c>
      <c r="F95" s="1">
        <f t="shared" si="5"/>
        <v>15614.592048567212</v>
      </c>
      <c r="G95" s="6">
        <f t="shared" si="6"/>
        <v>2878.2845960885397</v>
      </c>
      <c r="H95" s="1">
        <f t="shared" si="4"/>
        <v>3.0481252068575618E-2</v>
      </c>
      <c r="I95" s="1">
        <f ca="1">SUMPRODUCT($G95:OFFSET($G95,I$5-1,0),$H$7:INDEX($H$7:$H$200,I$5))/$F95</f>
        <v>0.83400837799047056</v>
      </c>
      <c r="J95" s="1">
        <f ca="1">SUMPRODUCT($G95:OFFSET($G95,J$5-1,0),$H$7:INDEX($H$7:$H$200,J$5))/$F95</f>
        <v>0.85357546946697227</v>
      </c>
      <c r="K95" s="1">
        <f ca="1">SUMPRODUCT($G95:OFFSET($G95,K$5-1,0),$H$7:INDEX($H$7:$H$200,K$5))/$F95</f>
        <v>0.85397384354226336</v>
      </c>
    </row>
    <row r="96" spans="1:11" ht="15.75">
      <c r="A96" s="1">
        <v>90</v>
      </c>
      <c r="B96" s="7">
        <v>0.202621</v>
      </c>
      <c r="C96" s="7">
        <v>0.16385</v>
      </c>
      <c r="D96" s="7">
        <v>0.14976300000000001</v>
      </c>
      <c r="E96" s="7">
        <v>0.12110700000000001</v>
      </c>
      <c r="F96" s="1">
        <f t="shared" si="5"/>
        <v>12736.307452478672</v>
      </c>
      <c r="G96" s="6">
        <f t="shared" si="6"/>
        <v>2580.643352328681</v>
      </c>
      <c r="H96" s="1">
        <f t="shared" si="4"/>
        <v>2.9308896219784244E-2</v>
      </c>
      <c r="I96" s="1">
        <f ca="1">SUMPRODUCT($G96:OFFSET($G96,I$5-1,0),$H$7:INDEX($H$7:$H$200,I$5))/$F96</f>
        <v>0.84925398514549688</v>
      </c>
      <c r="J96" s="1">
        <f ca="1">SUMPRODUCT($G96:OFFSET($G96,J$5-1,0),$H$7:INDEX($H$7:$H$200,J$5))/$F96</f>
        <v>0.86267647469118702</v>
      </c>
      <c r="K96" s="1">
        <f ca="1">SUMPRODUCT($G96:OFFSET($G96,K$5-1,0),$H$7:INDEX($H$7:$H$200,K$5))/$F96</f>
        <v>0.86285187127094032</v>
      </c>
    </row>
    <row r="97" spans="1:11" ht="15.75">
      <c r="A97" s="1">
        <v>91</v>
      </c>
      <c r="B97" s="7">
        <v>0.2225</v>
      </c>
      <c r="C97" s="7">
        <v>0.18177499999999999</v>
      </c>
      <c r="D97" s="7">
        <v>0.16445599999999999</v>
      </c>
      <c r="E97" s="7">
        <v>0.134355</v>
      </c>
      <c r="F97" s="1">
        <f t="shared" si="5"/>
        <v>10155.66410014999</v>
      </c>
      <c r="G97" s="6">
        <f t="shared" si="6"/>
        <v>2259.6352622833729</v>
      </c>
      <c r="H97" s="1">
        <f t="shared" si="4"/>
        <v>2.818163098056177E-2</v>
      </c>
      <c r="I97" s="1">
        <f ca="1">SUMPRODUCT($G97:OFFSET($G97,I$5-1,0),$H$7:INDEX($H$7:$H$200,I$5))/$F97</f>
        <v>0.8624435508766628</v>
      </c>
      <c r="J97" s="1">
        <f ca="1">SUMPRODUCT($G97:OFFSET($G97,J$5-1,0),$H$7:INDEX($H$7:$H$200,J$5))/$F97</f>
        <v>0.87128573253343478</v>
      </c>
      <c r="K97" s="1">
        <f ca="1">SUMPRODUCT($G97:OFFSET($G97,K$5-1,0),$H$7:INDEX($H$7:$H$200,K$5))/$F97</f>
        <v>0.87128573253343478</v>
      </c>
    </row>
    <row r="98" spans="1:11" ht="15.75">
      <c r="A98" s="1">
        <v>92</v>
      </c>
      <c r="B98" s="7">
        <v>0.244059</v>
      </c>
      <c r="C98" s="7">
        <v>0.20144699999999999</v>
      </c>
      <c r="D98" s="7">
        <v>0.180392</v>
      </c>
      <c r="E98" s="7">
        <v>0.148896</v>
      </c>
      <c r="F98" s="1">
        <f t="shared" si="5"/>
        <v>7896.0288378666173</v>
      </c>
      <c r="G98" s="6">
        <f t="shared" si="6"/>
        <v>1927.0969021408887</v>
      </c>
      <c r="H98" s="1">
        <f t="shared" si="4"/>
        <v>2.7097722096694008E-2</v>
      </c>
      <c r="I98" s="1">
        <f ca="1">SUMPRODUCT($G98:OFFSET($G98,I$5-1,0),$H$7:INDEX($H$7:$H$200,I$5))/$F98</f>
        <v>0.87381867675439218</v>
      </c>
      <c r="J98" s="1">
        <f ca="1">SUMPRODUCT($G98:OFFSET($G98,J$5-1,0),$H$7:INDEX($H$7:$H$200,J$5))/$F98</f>
        <v>0.87927609239199045</v>
      </c>
      <c r="K98" s="1">
        <f ca="1">SUMPRODUCT($G98:OFFSET($G98,K$5-1,0),$H$7:INDEX($H$7:$H$200,K$5))/$F98</f>
        <v>0.87927609239199045</v>
      </c>
    </row>
    <row r="99" spans="1:11" ht="15.75">
      <c r="A99" s="1">
        <v>93</v>
      </c>
      <c r="B99" s="7">
        <v>0.26738299999999998</v>
      </c>
      <c r="C99" s="7">
        <v>0.22298699999999999</v>
      </c>
      <c r="D99" s="7">
        <v>0.197631</v>
      </c>
      <c r="E99" s="7">
        <v>0.16481599999999999</v>
      </c>
      <c r="F99" s="1">
        <f t="shared" si="5"/>
        <v>5968.9319357257282</v>
      </c>
      <c r="G99" s="6">
        <f t="shared" si="6"/>
        <v>1595.9909277701522</v>
      </c>
      <c r="H99" s="1">
        <f t="shared" si="4"/>
        <v>2.6055502016051928E-2</v>
      </c>
      <c r="I99" s="1">
        <f ca="1">SUMPRODUCT($G99:OFFSET($G99,I$5-1,0),$H$7:INDEX($H$7:$H$200,I$5))/$F99</f>
        <v>0.88365001488687311</v>
      </c>
      <c r="J99" s="1">
        <f ca="1">SUMPRODUCT($G99:OFFSET($G99,J$5-1,0),$H$7:INDEX($H$7:$H$200,J$5))/$F99</f>
        <v>0.8868260037326593</v>
      </c>
      <c r="K99" s="1">
        <f ca="1">SUMPRODUCT($G99:OFFSET($G99,K$5-1,0),$H$7:INDEX($H$7:$H$200,K$5))/$F99</f>
        <v>0.8868260037326593</v>
      </c>
    </row>
    <row r="100" spans="1:11" ht="15.75">
      <c r="A100" s="1">
        <v>94</v>
      </c>
      <c r="B100" s="7">
        <v>0.29254400000000003</v>
      </c>
      <c r="C100" s="7">
        <v>0.246507</v>
      </c>
      <c r="D100" s="7">
        <v>0.216228</v>
      </c>
      <c r="E100" s="7">
        <v>0.182201</v>
      </c>
      <c r="F100" s="1">
        <f t="shared" si="5"/>
        <v>4372.9410079555764</v>
      </c>
      <c r="G100" s="6">
        <f t="shared" si="6"/>
        <v>1279.2776542313563</v>
      </c>
      <c r="H100" s="1">
        <f t="shared" si="4"/>
        <v>2.5053367323126852E-2</v>
      </c>
      <c r="I100" s="1">
        <f ca="1">SUMPRODUCT($G100:OFFSET($G100,I$5-1,0),$H$7:INDEX($H$7:$H$200,I$5))/$F100</f>
        <v>0.89220987786515804</v>
      </c>
      <c r="J100" s="1">
        <f ca="1">SUMPRODUCT($G100:OFFSET($G100,J$5-1,0),$H$7:INDEX($H$7:$H$200,J$5))/$F100</f>
        <v>0.89394054994897154</v>
      </c>
      <c r="K100" s="1">
        <f ca="1">SUMPRODUCT($G100:OFFSET($G100,K$5-1,0),$H$7:INDEX($H$7:$H$200,K$5))/$F100</f>
        <v>0.89394054994897154</v>
      </c>
    </row>
    <row r="101" spans="1:11" ht="15.75">
      <c r="A101" s="1">
        <v>95</v>
      </c>
      <c r="B101" s="7">
        <v>0.319604</v>
      </c>
      <c r="C101" s="7">
        <v>0.272115</v>
      </c>
      <c r="D101" s="7">
        <v>0.23622899999999999</v>
      </c>
      <c r="E101" s="7">
        <v>0.201129</v>
      </c>
      <c r="F101" s="1">
        <f t="shared" si="5"/>
        <v>3093.6633537242201</v>
      </c>
      <c r="G101" s="6">
        <f t="shared" si="6"/>
        <v>988.74718250367562</v>
      </c>
      <c r="H101" s="1">
        <f t="shared" si="4"/>
        <v>2.4089776272237354E-2</v>
      </c>
      <c r="I101" s="1">
        <f ca="1">SUMPRODUCT($G101:OFFSET($G101,I$5-1,0),$H$7:INDEX($H$7:$H$200,I$5))/$F101</f>
        <v>0.89974874506910729</v>
      </c>
      <c r="J101" s="1">
        <f ca="1">SUMPRODUCT($G101:OFFSET($G101,J$5-1,0),$H$7:INDEX($H$7:$H$200,J$5))/$F101</f>
        <v>0.90062727851192248</v>
      </c>
      <c r="K101" s="1">
        <f ca="1">SUMPRODUCT($G101:OFFSET($G101,K$5-1,0),$H$7:INDEX($H$7:$H$200,K$5))/$F101</f>
        <v>0.90062727851192248</v>
      </c>
    </row>
    <row r="102" spans="1:11" ht="15.75">
      <c r="A102" s="1">
        <v>96</v>
      </c>
      <c r="B102" s="7">
        <v>0.34860600000000003</v>
      </c>
      <c r="C102" s="7">
        <v>0.29990299999999998</v>
      </c>
      <c r="D102" s="7">
        <v>0.25766600000000001</v>
      </c>
      <c r="E102" s="7">
        <v>0.221667</v>
      </c>
      <c r="F102" s="1">
        <f t="shared" si="5"/>
        <v>2104.9161712205446</v>
      </c>
      <c r="G102" s="6">
        <f t="shared" si="6"/>
        <v>733.78640678450927</v>
      </c>
      <c r="H102" s="1">
        <f t="shared" si="4"/>
        <v>2.3163246415612838E-2</v>
      </c>
      <c r="I102" s="1">
        <f ca="1">SUMPRODUCT($G102:OFFSET($G102,I$5-1,0),$H$7:INDEX($H$7:$H$200,I$5))/$F102</f>
        <v>0.90689593950052494</v>
      </c>
      <c r="J102" s="1">
        <f ca="1">SUMPRODUCT($G102:OFFSET($G102,J$5-1,0),$H$7:INDEX($H$7:$H$200,J$5))/$F102</f>
        <v>0.90689593950052494</v>
      </c>
      <c r="K102" s="1">
        <f ca="1">SUMPRODUCT($G102:OFFSET($G102,K$5-1,0),$H$7:INDEX($H$7:$H$200,K$5))/$F102</f>
        <v>0.90689593950052494</v>
      </c>
    </row>
    <row r="103" spans="1:11" ht="15.75">
      <c r="A103" s="1">
        <v>97</v>
      </c>
      <c r="B103" s="7">
        <v>0.37957200000000002</v>
      </c>
      <c r="C103" s="7">
        <v>0.32994200000000001</v>
      </c>
      <c r="D103" s="7">
        <v>0.280553</v>
      </c>
      <c r="E103" s="7">
        <v>0.24387</v>
      </c>
      <c r="F103" s="1">
        <f t="shared" si="5"/>
        <v>1371.1297644360352</v>
      </c>
      <c r="G103" s="6">
        <f t="shared" si="6"/>
        <v>520.44246694651474</v>
      </c>
      <c r="H103" s="1">
        <f t="shared" ref="H103:H111" si="7">v0*H102</f>
        <v>2.227235232270465E-2</v>
      </c>
      <c r="I103" s="1">
        <f ca="1">SUMPRODUCT($G103:OFFSET($G103,I$5-1,0),$H$7:INDEX($H$7:$H$200,I$5))/$F103</f>
        <v>0.912759062994971</v>
      </c>
      <c r="J103" s="1">
        <f ca="1">SUMPRODUCT($G103:OFFSET($G103,J$5-1,0),$H$7:INDEX($H$7:$H$200,J$5))/$F103</f>
        <v>0.912759062994971</v>
      </c>
      <c r="K103" s="1">
        <f ca="1">SUMPRODUCT($G103:OFFSET($G103,K$5-1,0),$H$7:INDEX($H$7:$H$200,K$5))/$F103</f>
        <v>0.912759062994971</v>
      </c>
    </row>
    <row r="104" spans="1:11" ht="15.75">
      <c r="A104" s="1">
        <v>98</v>
      </c>
      <c r="B104" s="7">
        <v>0.412495</v>
      </c>
      <c r="C104" s="7">
        <v>0.36228100000000002</v>
      </c>
      <c r="D104" s="7">
        <v>0.30488700000000002</v>
      </c>
      <c r="E104" s="7">
        <v>0.26777299999999998</v>
      </c>
      <c r="F104" s="1">
        <f t="shared" si="5"/>
        <v>850.68729748952046</v>
      </c>
      <c r="G104" s="6">
        <f t="shared" si="6"/>
        <v>350.90425677793974</v>
      </c>
      <c r="H104" s="1">
        <f t="shared" si="7"/>
        <v>2.1415723387216007E-2</v>
      </c>
      <c r="I104" s="1">
        <f ca="1">SUMPRODUCT($G104:OFFSET($G104,I$5-1,0),$H$7:INDEX($H$7:$H$200,I$5))/$F104</f>
        <v>0.9182329384147232</v>
      </c>
      <c r="J104" s="1">
        <f ca="1">SUMPRODUCT($G104:OFFSET($G104,J$5-1,0),$H$7:INDEX($H$7:$H$200,J$5))/$F104</f>
        <v>0.9182329384147232</v>
      </c>
      <c r="K104" s="1">
        <f ca="1">SUMPRODUCT($G104:OFFSET($G104,K$5-1,0),$H$7:INDEX($H$7:$H$200,K$5))/$F104</f>
        <v>0.9182329384147232</v>
      </c>
    </row>
    <row r="105" spans="1:11" ht="15.75">
      <c r="A105" s="1">
        <v>99</v>
      </c>
      <c r="B105" s="7">
        <v>0.44733400000000001</v>
      </c>
      <c r="C105" s="7">
        <v>0.39693299999999998</v>
      </c>
      <c r="D105" s="7">
        <v>0.33063799999999999</v>
      </c>
      <c r="E105" s="7">
        <v>0.29338500000000001</v>
      </c>
      <c r="F105" s="1">
        <f t="shared" si="5"/>
        <v>499.78304071158072</v>
      </c>
      <c r="G105" s="6">
        <f t="shared" si="6"/>
        <v>223.56994673367424</v>
      </c>
      <c r="H105" s="1">
        <f t="shared" si="7"/>
        <v>2.0592041718476929E-2</v>
      </c>
      <c r="I105" s="1">
        <f ca="1">SUMPRODUCT($G105:OFFSET($G105,I$5-1,0),$H$7:INDEX($H$7:$H$200,I$5))/$F105</f>
        <v>0.92334066254978642</v>
      </c>
      <c r="J105" s="1">
        <f ca="1">SUMPRODUCT($G105:OFFSET($G105,J$5-1,0),$H$7:INDEX($H$7:$H$200,J$5))/$F105</f>
        <v>0.92334066254978642</v>
      </c>
      <c r="K105" s="1">
        <f ca="1">SUMPRODUCT($G105:OFFSET($G105,K$5-1,0),$H$7:INDEX($H$7:$H$200,K$5))/$F105</f>
        <v>0.92334066254978642</v>
      </c>
    </row>
    <row r="106" spans="1:11" ht="15.75">
      <c r="A106" s="1">
        <v>100</v>
      </c>
      <c r="B106" s="7">
        <v>0.48401</v>
      </c>
      <c r="C106" s="7">
        <v>0.433869</v>
      </c>
      <c r="D106" s="7">
        <v>0.35774600000000001</v>
      </c>
      <c r="E106" s="7">
        <v>0.320685</v>
      </c>
      <c r="F106" s="1">
        <f t="shared" si="5"/>
        <v>276.21309397790651</v>
      </c>
      <c r="G106" s="6">
        <f t="shared" si="6"/>
        <v>133.68989961624652</v>
      </c>
      <c r="H106" s="1">
        <f t="shared" si="7"/>
        <v>1.9800040113920121E-2</v>
      </c>
      <c r="I106" s="1">
        <f ca="1">SUMPRODUCT($G106:OFFSET($G106,I$5-1,0),$H$7:INDEX($H$7:$H$200,I$5))/$F106</f>
        <v>0.92811985729496271</v>
      </c>
      <c r="J106" s="1">
        <f ca="1">SUMPRODUCT($G106:OFFSET($G106,J$5-1,0),$H$7:INDEX($H$7:$H$200,J$5))/$F106</f>
        <v>0.92811985729496271</v>
      </c>
      <c r="K106" s="1">
        <f ca="1">SUMPRODUCT($G106:OFFSET($G106,K$5-1,0),$H$7:INDEX($H$7:$H$200,K$5))/$F106</f>
        <v>0.92811985729496271</v>
      </c>
    </row>
    <row r="107" spans="1:11" ht="15.75">
      <c r="A107" s="1">
        <v>101</v>
      </c>
      <c r="B107" s="7">
        <v>0.522397</v>
      </c>
      <c r="C107" s="7">
        <v>0.47300799999999998</v>
      </c>
      <c r="D107" s="7">
        <v>0.38611899999999999</v>
      </c>
      <c r="E107" s="7">
        <v>0.34961500000000001</v>
      </c>
      <c r="F107" s="1">
        <f t="shared" si="5"/>
        <v>142.52319436165999</v>
      </c>
      <c r="G107" s="6">
        <f t="shared" si="6"/>
        <v>74.453689164948088</v>
      </c>
      <c r="H107" s="1">
        <f t="shared" si="7"/>
        <v>1.9038500109538576E-2</v>
      </c>
      <c r="I107" s="1">
        <f ca="1">SUMPRODUCT($G107:OFFSET($G107,I$5-1,0),$H$7:INDEX($H$7:$H$200,I$5))/$F107</f>
        <v>0.93264336825667427</v>
      </c>
      <c r="J107" s="1">
        <f ca="1">SUMPRODUCT($G107:OFFSET($G107,J$5-1,0),$H$7:INDEX($H$7:$H$200,J$5))/$F107</f>
        <v>0.93264336825667427</v>
      </c>
      <c r="K107" s="1">
        <f ca="1">SUMPRODUCT($G107:OFFSET($G107,K$5-1,0),$H$7:INDEX($H$7:$H$200,K$5))/$F107</f>
        <v>0.93264336825667427</v>
      </c>
    </row>
    <row r="108" spans="1:11" ht="15.75">
      <c r="A108" s="1">
        <v>102</v>
      </c>
      <c r="B108" s="7">
        <v>0.56231699999999996</v>
      </c>
      <c r="C108" s="7">
        <v>0.51421099999999997</v>
      </c>
      <c r="D108" s="7">
        <v>0.415626</v>
      </c>
      <c r="E108" s="7">
        <v>0.38006899999999999</v>
      </c>
      <c r="F108" s="1">
        <f t="shared" si="5"/>
        <v>68.069505196711901</v>
      </c>
      <c r="G108" s="6">
        <f t="shared" si="6"/>
        <v>38.276639953699444</v>
      </c>
      <c r="H108" s="1">
        <f t="shared" si="7"/>
        <v>1.8306250105325553E-2</v>
      </c>
      <c r="I108" s="1">
        <f ca="1">SUMPRODUCT($G108:OFFSET($G108,I$5-1,0),$H$7:INDEX($H$7:$H$200,I$5))/$F108</f>
        <v>0.93707975659060205</v>
      </c>
      <c r="J108" s="1">
        <f ca="1">SUMPRODUCT($G108:OFFSET($G108,J$5-1,0),$H$7:INDEX($H$7:$H$200,J$5))/$F108</f>
        <v>0.93707975659060205</v>
      </c>
      <c r="K108" s="1">
        <f ca="1">SUMPRODUCT($G108:OFFSET($G108,K$5-1,0),$H$7:INDEX($H$7:$H$200,K$5))/$F108</f>
        <v>0.93707975659060205</v>
      </c>
    </row>
    <row r="109" spans="1:11" ht="15.75">
      <c r="A109" s="1">
        <v>103</v>
      </c>
      <c r="B109" s="7">
        <v>0.60353900000000005</v>
      </c>
      <c r="C109" s="7">
        <v>0.55726900000000001</v>
      </c>
      <c r="D109" s="7">
        <v>0.44609399999999999</v>
      </c>
      <c r="E109" s="7">
        <v>0.41189399999999998</v>
      </c>
      <c r="F109" s="1">
        <f t="shared" si="5"/>
        <v>29.792865243012457</v>
      </c>
      <c r="G109" s="6">
        <f t="shared" si="6"/>
        <v>17.981156095902495</v>
      </c>
      <c r="H109" s="1">
        <f t="shared" si="7"/>
        <v>1.7602163562813029E-2</v>
      </c>
      <c r="I109" s="1">
        <f ca="1">SUMPRODUCT($G109:OFFSET($G109,I$5-1,0),$H$7:INDEX($H$7:$H$200,I$5))/$F109</f>
        <v>0.94188247396911973</v>
      </c>
      <c r="J109" s="1">
        <f ca="1">SUMPRODUCT($G109:OFFSET($G109,J$5-1,0),$H$7:INDEX($H$7:$H$200,J$5))/$F109</f>
        <v>0.94188247396911973</v>
      </c>
      <c r="K109" s="1">
        <f ca="1">SUMPRODUCT($G109:OFFSET($G109,K$5-1,0),$H$7:INDEX($H$7:$H$200,K$5))/$F109</f>
        <v>0.94188247396911973</v>
      </c>
    </row>
    <row r="110" spans="1:11" ht="15.75">
      <c r="A110" s="1">
        <v>104</v>
      </c>
      <c r="B110" s="7">
        <v>0.64576999999999996</v>
      </c>
      <c r="C110" s="7">
        <v>0.60189599999999999</v>
      </c>
      <c r="D110" s="7">
        <v>0.47730800000000001</v>
      </c>
      <c r="E110" s="7">
        <v>0.44487900000000002</v>
      </c>
      <c r="F110" s="1">
        <f t="shared" si="5"/>
        <v>11.811709147109962</v>
      </c>
      <c r="G110" s="6">
        <f t="shared" si="6"/>
        <v>7.6276474159292</v>
      </c>
      <c r="H110" s="1">
        <f t="shared" si="7"/>
        <v>1.6925157271935602E-2</v>
      </c>
      <c r="I110" s="1">
        <f ca="1">SUMPRODUCT($G110:OFFSET($G110,I$5-1,0),$H$7:INDEX($H$7:$H$200,I$5))/$F110</f>
        <v>0.9484382396449702</v>
      </c>
      <c r="J110" s="1">
        <f ca="1">SUMPRODUCT($G110:OFFSET($G110,J$5-1,0),$H$7:INDEX($H$7:$H$200,J$5))/$F110</f>
        <v>0.9484382396449702</v>
      </c>
      <c r="K110" s="1">
        <f ca="1">SUMPRODUCT($G110:OFFSET($G110,K$5-1,0),$H$7:INDEX($H$7:$H$200,K$5))/$F110</f>
        <v>0.9484382396449702</v>
      </c>
    </row>
    <row r="111" spans="1:11" ht="15.75">
      <c r="A111" s="1">
        <v>105</v>
      </c>
      <c r="B111" s="7">
        <v>1</v>
      </c>
      <c r="C111" s="7">
        <v>1</v>
      </c>
      <c r="D111" s="7">
        <v>1</v>
      </c>
      <c r="E111" s="7">
        <v>1</v>
      </c>
      <c r="F111" s="1">
        <f t="shared" si="5"/>
        <v>4.184061731180762</v>
      </c>
      <c r="G111" s="6">
        <f t="shared" si="6"/>
        <v>4.184061731180762</v>
      </c>
      <c r="H111" s="1">
        <f t="shared" si="7"/>
        <v>1.6274189684553464E-2</v>
      </c>
      <c r="I111" s="1">
        <f ca="1">SUMPRODUCT($G111:OFFSET($G111,I$5-1,0),$H$7:INDEX($H$7:$H$200,I$5))/$F111</f>
        <v>0.96153846153846134</v>
      </c>
      <c r="J111" s="1">
        <f ca="1">SUMPRODUCT($G111:OFFSET($G111,J$5-1,0),$H$7:INDEX($H$7:$H$200,J$5))/$F111</f>
        <v>0.96153846153846134</v>
      </c>
      <c r="K111" s="1">
        <f ca="1">SUMPRODUCT($G111:OFFSET($G111,K$5-1,0),$H$7:INDEX($H$7:$H$200,K$5))/$F111</f>
        <v>0.96153846153846134</v>
      </c>
    </row>
  </sheetData>
  <mergeCells count="3">
    <mergeCell ref="A3:A4"/>
    <mergeCell ref="B3:C3"/>
    <mergeCell ref="D3:E3"/>
  </mergeCells>
  <phoneticPr fontId="4" type="noConversion"/>
  <pageMargins left="0.75" right="0.75" top="1" bottom="1" header="0.5" footer="0.5"/>
  <pageSetup paperSize="9" orientation="portrait" verticalDpi="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8:C22"/>
  <sheetViews>
    <sheetView showFormulas="1" topLeftCell="A7" zoomScale="130" zoomScaleNormal="130" workbookViewId="0">
      <selection activeCell="B12" sqref="B12"/>
    </sheetView>
  </sheetViews>
  <sheetFormatPr defaultRowHeight="13.5"/>
  <cols>
    <col min="2" max="2" width="21.125" customWidth="1"/>
    <col min="3" max="3" width="16.875" customWidth="1"/>
  </cols>
  <sheetData>
    <row r="8" spans="1:3" ht="18.75">
      <c r="A8" s="78"/>
      <c r="B8" s="78"/>
    </row>
    <row r="9" spans="1:3" ht="18.75">
      <c r="A9" s="78"/>
      <c r="B9" s="78"/>
    </row>
    <row r="10" spans="1:3" ht="18.75">
      <c r="A10" s="78" t="s">
        <v>100</v>
      </c>
      <c r="B10" s="78">
        <v>9</v>
      </c>
    </row>
    <row r="11" spans="1:3" ht="18.75">
      <c r="A11" s="78" t="s">
        <v>99</v>
      </c>
      <c r="B11" s="78">
        <v>0.94</v>
      </c>
    </row>
    <row r="12" spans="1:3" ht="18.75">
      <c r="A12" s="78"/>
      <c r="B12" s="79">
        <f t="array" aca="1" ref="B12" ca="1">SUM(v^ROW(A1:INDIRECT("a"&amp;n)))</f>
        <v>6.6897480984183373</v>
      </c>
      <c r="C12">
        <f t="array" ref="C12">SUM(v^ROW(A1:INDEX(A1:A100,n)))</f>
        <v>6.6897480984183373</v>
      </c>
    </row>
    <row r="13" spans="1:3" ht="18.75">
      <c r="A13" s="78"/>
      <c r="B13" s="79">
        <f t="array" ref="B13">SUM(SIN(1/ROW(1:100)))</f>
        <v>4.9954866825295854</v>
      </c>
    </row>
    <row r="14" spans="1:3" ht="18.75">
      <c r="A14" s="78"/>
      <c r="B14" s="78">
        <f t="array" ref="B14">SUM(1/FACT(ROW(1:100)))+1</f>
        <v>2.7182818284590455</v>
      </c>
    </row>
    <row r="15" spans="1:3" ht="18.75">
      <c r="A15" s="78"/>
      <c r="B15" s="78">
        <f t="array" ref="B15">SUM(ROW(1:20)*v^ROW(1:20))</f>
        <v>94.461192594482483</v>
      </c>
    </row>
    <row r="16" spans="1:3" ht="18.75">
      <c r="A16" s="78"/>
      <c r="B16" s="78"/>
    </row>
    <row r="17" spans="1:3" ht="18.75">
      <c r="A17" s="78"/>
      <c r="B17" s="78"/>
    </row>
    <row r="18" spans="1:3">
      <c r="C18">
        <f t="array" ref="C18:C22">ROW(A1:A3)</f>
        <v>1</v>
      </c>
    </row>
    <row r="19" spans="1:3">
      <c r="C19">
        <v>2</v>
      </c>
    </row>
    <row r="20" spans="1:3">
      <c r="C20">
        <v>3</v>
      </c>
    </row>
    <row r="21" spans="1:3">
      <c r="C21" t="e">
        <v>#N/A</v>
      </c>
    </row>
    <row r="22" spans="1:3">
      <c r="C22" t="e">
        <v>#N/A</v>
      </c>
    </row>
  </sheetData>
  <phoneticPr fontId="4" type="noConversion"/>
  <pageMargins left="0.7" right="0.7" top="0.75" bottom="0.75" header="0.3" footer="0.3"/>
  <pageSetup paperSize="0" orientation="portrait" horizontalDpi="0" verticalDpi="0" copies="0"/>
  <drawing r:id="rId1"/>
  <legacyDrawing r:id="rId2"/>
  <oleObjects>
    <mc:AlternateContent xmlns:mc="http://schemas.openxmlformats.org/markup-compatibility/2006">
      <mc:Choice Requires="x14">
        <oleObject progId="Equation.3" shapeId="2049" r:id="rId3">
          <objectPr defaultSize="0" autoPict="0" r:id="rId4">
            <anchor moveWithCells="1">
              <from>
                <xdr:col>1</xdr:col>
                <xdr:colOff>76200</xdr:colOff>
                <xdr:row>1</xdr:row>
                <xdr:rowOff>85725</xdr:rowOff>
              </from>
              <to>
                <xdr:col>2</xdr:col>
                <xdr:colOff>847725</xdr:colOff>
                <xdr:row>6</xdr:row>
                <xdr:rowOff>19050</xdr:rowOff>
              </to>
            </anchor>
          </objectPr>
        </oleObject>
      </mc:Choice>
      <mc:Fallback>
        <oleObject progId="Equation.3" shapeId="2049" r:id="rId3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26</vt:i4>
      </vt:variant>
    </vt:vector>
  </HeadingPairs>
  <TitlesOfParts>
    <vt:vector size="33" baseType="lpstr">
      <vt:lpstr>公共参数</vt:lpstr>
      <vt:lpstr>评估</vt:lpstr>
      <vt:lpstr>定价</vt:lpstr>
      <vt:lpstr>利润测试</vt:lpstr>
      <vt:lpstr>预测财务报表</vt:lpstr>
      <vt:lpstr>CL03</vt:lpstr>
      <vt:lpstr>Sheet1</vt:lpstr>
      <vt:lpstr>n</vt:lpstr>
      <vt:lpstr>n0</vt:lpstr>
      <vt:lpstr>v</vt:lpstr>
      <vt:lpstr>v0</vt:lpstr>
      <vt:lpstr>保额</vt:lpstr>
      <vt:lpstr>保险期间</vt:lpstr>
      <vt:lpstr>利润测试!测试保费</vt:lpstr>
      <vt:lpstr>利润测试!测试利率编号</vt:lpstr>
      <vt:lpstr>利润测试!测试生命表</vt:lpstr>
      <vt:lpstr>利润测试!测试死亡率因子</vt:lpstr>
      <vt:lpstr>产品类型</vt:lpstr>
      <vt:lpstr>定价利率</vt:lpstr>
      <vt:lpstr>定价生命表</vt:lpstr>
      <vt:lpstr>定价死亡率因子</vt:lpstr>
      <vt:lpstr>缴费期</vt:lpstr>
      <vt:lpstr>净保费</vt:lpstr>
      <vt:lpstr>毛保费</vt:lpstr>
      <vt:lpstr>评估!评估利率</vt:lpstr>
      <vt:lpstr>评估!评估生命表</vt:lpstr>
      <vt:lpstr>评估!评估死亡率因子</vt:lpstr>
      <vt:lpstr>期初保单数</vt:lpstr>
      <vt:lpstr>启动资本</vt:lpstr>
      <vt:lpstr>生命表</vt:lpstr>
      <vt:lpstr>输出定位</vt:lpstr>
      <vt:lpstr>投保年龄</vt:lpstr>
      <vt:lpstr>投保性别</vt:lpstr>
    </vt:vector>
  </TitlesOfParts>
  <Company>ruc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ruc</dc:creator>
  <cp:lastModifiedBy>lenovo</cp:lastModifiedBy>
  <dcterms:created xsi:type="dcterms:W3CDTF">2011-09-28T04:19:19Z</dcterms:created>
  <dcterms:modified xsi:type="dcterms:W3CDTF">2016-11-25T03:56:23Z</dcterms:modified>
</cp:coreProperties>
</file>